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x/Development/active/being/development/docs/business/"/>
    </mc:Choice>
  </mc:AlternateContent>
  <xr:revisionPtr revIDLastSave="0" documentId="13_ncr:9_{F30FA09D-94C5-CC4D-A5D9-639D27873277}" xr6:coauthVersionLast="47" xr6:coauthVersionMax="47" xr10:uidLastSave="{00000000-0000-0000-0000-000000000000}"/>
  <bookViews>
    <workbookView xWindow="0" yWindow="760" windowWidth="38400" windowHeight="24100" xr2:uid="{688B0B1E-5751-5042-B68D-FFC82480E3B2}"/>
  </bookViews>
  <sheets>
    <sheet name="Comprehensive_Cost_List_Fina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9" i="1" l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8" i="1"/>
</calcChain>
</file>

<file path=xl/sharedStrings.xml><?xml version="1.0" encoding="utf-8"?>
<sst xmlns="http://schemas.openxmlformats.org/spreadsheetml/2006/main" count="880" uniqueCount="338">
  <si>
    <t>CONFIDENCE LEVEL DEFINITIONS</t>
  </si>
  <si>
    <t>Critical</t>
  </si>
  <si>
    <t>Cannot operate/launch without it. Required for legal compliance, core infrastructure, or safety-critical features. Budget immediately (0-3 months).</t>
  </si>
  <si>
    <t>High</t>
  </si>
  <si>
    <t>Needed for quality, compliance, or scale. Professional services at user milestones. Plan within 6-12 months or triggered by growth.</t>
  </si>
  <si>
    <t>Medium</t>
  </si>
  <si>
    <t>Beneficial but timing is flexible. Marketing tools (wait for revenue), enhanced features, professional services (can DIY initially). Plan 12-24 months or revenue-triggered.</t>
  </si>
  <si>
    <t>Low</t>
  </si>
  <si>
    <t>Speculative or far-future. Enterprise features, international expansion, significant team scaling. Consider only at 24+ months or major pivot.</t>
  </si>
  <si>
    <t>Cost Category</t>
  </si>
  <si>
    <t>Cost Description</t>
  </si>
  <si>
    <t>Cost Type</t>
  </si>
  <si>
    <t>Frequency</t>
  </si>
  <si>
    <t>User Tier</t>
  </si>
  <si>
    <t>Monthly Cost</t>
  </si>
  <si>
    <t>Annual Cost</t>
  </si>
  <si>
    <t>Calculated Annual Cost</t>
  </si>
  <si>
    <t>Confidence</t>
  </si>
  <si>
    <t>Notes</t>
  </si>
  <si>
    <t>Technology Infrastructure</t>
  </si>
  <si>
    <t>AI Coding Assistant (Cursor/Claude)</t>
  </si>
  <si>
    <t>Fixed</t>
  </si>
  <si>
    <t>Ongoing</t>
  </si>
  <si>
    <t>All</t>
  </si>
  <si>
    <t xml:space="preserve"> $240-480 </t>
  </si>
  <si>
    <t>PRIMARY development tool for single developer + AI-assisted model. Currently in use. Essential for productivity.</t>
  </si>
  <si>
    <t>Expo EAS Build (Production Plan)</t>
  </si>
  <si>
    <t>Required for production deployment. Includes unlimited builds + EAS Update (OTA). No separate OTA cost.</t>
  </si>
  <si>
    <t>Supabase Database &amp; Storage (Free Tier)</t>
  </si>
  <si>
    <t>0-10K users</t>
  </si>
  <si>
    <t>500MB DB + 2GB bandwidth/month. Current tier. Supports ~10K users / ~300 DAU due to offline-first design.</t>
  </si>
  <si>
    <t>Supabase Pro Tier</t>
  </si>
  <si>
    <t>10K-100K users</t>
  </si>
  <si>
    <t>8GB DB + 50GB bandwidth + 2M edge function invocations. Milestone-based upgrade when exceeding free tier.</t>
  </si>
  <si>
    <t>Supabase Team Tier</t>
  </si>
  <si>
    <t>100K+ users</t>
  </si>
  <si>
    <t>Only needed if BAA required (architecture pivot) or &gt;100GB bandwidth. Unlikely with current privacy-first design.</t>
  </si>
  <si>
    <t>Bandwidth Overage Buffer</t>
  </si>
  <si>
    <t>Variable</t>
  </si>
  <si>
    <t>10K-50K users</t>
  </si>
  <si>
    <t xml:space="preserve"> $120-600 </t>
  </si>
  <si>
    <t>Contingency for Supabase bandwidth spikes. Monitor usage and implement rate limiting.</t>
  </si>
  <si>
    <t>GitHub (Version Control)</t>
  </si>
  <si>
    <t>Currently in use. Free for single developer. Upgrade to Team ($4/user/mo) only when hiring.</t>
  </si>
  <si>
    <t>GitHub Actions (CI/CD - Free Tier)</t>
  </si>
  <si>
    <t>0-5K users</t>
  </si>
  <si>
    <t>Current tier. 2000 minutes/month sufficient for ~100 commits/month. Includes all test automation.</t>
  </si>
  <si>
    <t>GitHub Actions (Paid Tier)</t>
  </si>
  <si>
    <t>5K-50K users</t>
  </si>
  <si>
    <t xml:space="preserve"> $144-240 </t>
  </si>
  <si>
    <t>When exceeding 2000 min/mo (~200 commits/month). Alternative: Self-hosted runners on $5/mo VPS.</t>
  </si>
  <si>
    <t>Domain Name (.app or .com)</t>
  </si>
  <si>
    <t>Required for FEAT-38 (web subscriptions) and professional email. Annual renewal. Can defer until web feature.</t>
  </si>
  <si>
    <t>Development Tools (TypeScript/Node/Jest)</t>
  </si>
  <si>
    <t>Currently in use. All free/open-source tools. Includes VS Code extensions, Prettier, ESLint.</t>
  </si>
  <si>
    <t>Monitoring &amp; Error Tracking (Sentry - Free)</t>
  </si>
  <si>
    <t>0-1K users</t>
  </si>
  <si>
    <t>5K events/month. Implement at 500-1K users for production stability. Critical for production readiness.</t>
  </si>
  <si>
    <t>Monitoring &amp; Error Tracking (Sentry - Team)</t>
  </si>
  <si>
    <t>1K-10K users</t>
  </si>
  <si>
    <t>50K events/month. Milestone-based upgrade. Updated 2025 pricing (was $26/mo).</t>
  </si>
  <si>
    <t>Monitoring &amp; Error Tracking (Sentry - Business)</t>
  </si>
  <si>
    <t>500K events/month. Later milestone. Updated 2025 pricing (was $80/mo).</t>
  </si>
  <si>
    <t>SSL &amp; Security Certificates</t>
  </si>
  <si>
    <t>Included with Expo + Supabase. Required for app operation. Apple Developer Program includes certificates.</t>
  </si>
  <si>
    <t>Philosophical/Clinical Content</t>
  </si>
  <si>
    <t>Philosophical Advisor (Stoic Mindfulness)</t>
  </si>
  <si>
    <t xml:space="preserve"> $0-500 </t>
  </si>
  <si>
    <t xml:space="preserve"> $0-6000 </t>
  </si>
  <si>
    <t>Content Development (Stoic Practices)</t>
  </si>
  <si>
    <t>One-time</t>
  </si>
  <si>
    <t>Solo developer + philosopher agent validation for 5 core principles, 4 developmental stages. Your time = $0 in model. Initial core product content development.</t>
  </si>
  <si>
    <t>Content Updates (New Practices/Modules)</t>
  </si>
  <si>
    <t>CRITICAL for supporting user progression through developmental stages (Fragmented ‚Üí Effortful ‚Üí Fluid ‚Üí Integrated). Ongoing content evolution. Essential, not optional.</t>
  </si>
  <si>
    <t>Developmental Stage Assessment Tools</t>
  </si>
  <si>
    <t>11 development markers for tracking user progress through 4 stages. Critical for personalization. Initial development time (your time).</t>
  </si>
  <si>
    <t>Neuroscience Integration Updates</t>
  </si>
  <si>
    <t>Updates to neuroscience justification (DMN, attention networks) as research evolves. Maintains scientific credibility but timing flexible.</t>
  </si>
  <si>
    <t>Premeditatio Malorum Safety Validation</t>
  </si>
  <si>
    <t>Safety validation for Stoic negative visualization practices. CRITICAL for vulnerable users (GAD‚â•15). Clinical + philosophical review required before launch. One-time pre-launch validation.</t>
  </si>
  <si>
    <t>Crisis Protocols (PHQ-9/GAD-7)</t>
  </si>
  <si>
    <t>CRITICAL. Initial implementation of crisis detection thresholds (PHQ‚â•15, PHQ‚â•20, GAD‚â•15) and 988 integration. Development/setup time (your time). Always free to user, always available. No external costs.</t>
  </si>
  <si>
    <t>Crisis Protocol Updates</t>
  </si>
  <si>
    <t>Updates to crisis detection algorithms and safety protocols as clinical standards evolve. Your time. Quality maintenance.</t>
  </si>
  <si>
    <t>Clinical Assessment Validation</t>
  </si>
  <si>
    <t>PHQ-9/GAD-7 implementation accuracy validation (100% required), crisis threshold verification. Automated testing covers this. Launch requirement.</t>
  </si>
  <si>
    <t>Compliance &amp; Security</t>
  </si>
  <si>
    <t>HIPAA Compliance Consultation (BAA-Free Validation)</t>
  </si>
  <si>
    <t xml:space="preserve"> $2500-5000 </t>
  </si>
  <si>
    <t>ONE-TIME legal counsel confirmation that NO PHI transmitted, eliminating BAA requirements. Critical success factor unlocking $108K-326K savings over 5 years. Pre-launch.</t>
  </si>
  <si>
    <t>Privacy Law Compliance (Initial Setup)</t>
  </si>
  <si>
    <t xml:space="preserve"> $3000-8000 </t>
  </si>
  <si>
    <t>CCPA/VCDPA/GDPR privacy policy drafting, state-specific compliance review (CA/VA/CO), consent framework design. Required for App Store launch.</t>
  </si>
  <si>
    <t>Privacy Law Compliance (Ongoing)</t>
  </si>
  <si>
    <t xml:space="preserve"> $83-250 </t>
  </si>
  <si>
    <t xml:space="preserve"> $1000-3000 </t>
  </si>
  <si>
    <t>Quarterly privacy policy reviews, state law updates monitoring, annual comprehensive review. Ongoing compliance maintenance.</t>
  </si>
  <si>
    <t>Legal Counsel (Initial Setup)</t>
  </si>
  <si>
    <t xml:space="preserve"> $5000-10000 </t>
  </si>
  <si>
    <t>Terms of Service drafting, Privacy Policy (mental health specific), Data Retention Policy. Required for App Store launch.</t>
  </si>
  <si>
    <t>Legal Counsel (Ongoing)</t>
  </si>
  <si>
    <t xml:space="preserve"> $167-417 </t>
  </si>
  <si>
    <t xml:space="preserve"> $2000-5000 </t>
  </si>
  <si>
    <t>Quarterly reviews, ad-hoc consultations, regulatory change reviews. Hourly rate model more cost-effective than retainer for solo dev.</t>
  </si>
  <si>
    <t>Terms &amp; Privacy Policy Updates</t>
  </si>
  <si>
    <t xml:space="preserve"> Included </t>
  </si>
  <si>
    <t>Included in Legal Counsel (Ongoing) costs. Regular maintenance as laws evolve.</t>
  </si>
  <si>
    <t>Security Audits (Pre-Launch)</t>
  </si>
  <si>
    <t xml:space="preserve"> $5000-15000 </t>
  </si>
  <si>
    <t>Pre-launch security review, encryption implementation validation (AES-256-GCM), PHI exclusion validation. Launch requirement.</t>
  </si>
  <si>
    <t>Security Audits (Annual)</t>
  </si>
  <si>
    <t>Annual security audit, post-major-release reviews. Every 18-24 months after Year 1. Quality and compliance maintenance.</t>
  </si>
  <si>
    <t>Cyber Insurance</t>
  </si>
  <si>
    <t>Data breach ($1M), privacy liability ($1M), network security ($500K). Annual premiums. ADVISABLE for mental health app despite BAA-free design. Scales: $800-1500 (0-5K users), $1500-2500 (5K-50K), $2500-5K (50K+).</t>
  </si>
  <si>
    <t>SOC 2 Certification</t>
  </si>
  <si>
    <t xml:space="preserve"> $15000-50000 </t>
  </si>
  <si>
    <t>NOT needed for consumer app. Annual certification cost if pursuing B2B/enterprise healthcare partnerships. Verify Supabase has SOC 2 Type II (no cost to Being).</t>
  </si>
  <si>
    <t>App Store Privacy Compliance (Initial)</t>
  </si>
  <si>
    <t xml:space="preserve"> $500-2000 </t>
  </si>
  <si>
    <t>Privacy Nutrition Label (Apple), Data Safety Section (Google). Launch requirement. Primarily developer time (8-16 hours).</t>
  </si>
  <si>
    <t>App Store Privacy Compliance (Ongoing)</t>
  </si>
  <si>
    <t xml:space="preserve"> $25-83 </t>
  </si>
  <si>
    <t xml:space="preserve"> $300-1000 </t>
  </si>
  <si>
    <t>Quarterly review for policy changes, updates for new app features. Developer time (2-4 hours/quarter). Ongoing compliance.</t>
  </si>
  <si>
    <t>User Consent Management System (Implementation)</t>
  </si>
  <si>
    <t>Affirmative opt-in consent UI (CCPA/VCDPA requirement for sensitive health data), consent audit trail, legal review of consent language. Launch requirement.</t>
  </si>
  <si>
    <t>User Consent Management System (Ongoing)</t>
  </si>
  <si>
    <t xml:space="preserve"> $17-42 </t>
  </si>
  <si>
    <t xml:space="preserve"> $200-500 </t>
  </si>
  <si>
    <t>Consent flow A/B testing, consent language updates. Optimization not critical path.</t>
  </si>
  <si>
    <t>Data Breach Response Planning (Initial)</t>
  </si>
  <si>
    <t>Incident response plan development, breach notification templates, vendor breach coordination procedures. Should have before significant user base.</t>
  </si>
  <si>
    <t>Data Breach Response Planning (Ongoing)</t>
  </si>
  <si>
    <t xml:space="preserve"> $42-125 </t>
  </si>
  <si>
    <t xml:space="preserve"> $500-1500 </t>
  </si>
  <si>
    <t>Annual IR plan testing, plan updates for regulatory changes. Can reduce cyber insurance premiums by 10-20%.</t>
  </si>
  <si>
    <t>Compliance Monitoring Tools</t>
  </si>
  <si>
    <t xml:space="preserve"> $0-1000 </t>
  </si>
  <si>
    <t>k-anonymity validation library, differential privacy implementation, PHI detection system. Tooling cost: $0-1000 (OSS libraries). Development time AI-accelerable. Quality assurance.</t>
  </si>
  <si>
    <t>State Mental Health App Regulations (Research)</t>
  </si>
  <si>
    <t>State-by-state regulatory analysis, mental health-specific app requirements (CA, NY, IL). Can phase by state of initial users.</t>
  </si>
  <si>
    <t>State Mental Health App Regulations (Monitoring)</t>
  </si>
  <si>
    <t>State regulatory change tracking, compliance updates for new states. Scales with geographic expansion.</t>
  </si>
  <si>
    <t>Customer Support</t>
  </si>
  <si>
    <t>Support Tools (Zendesk)</t>
  </si>
  <si>
    <t>5K+ users</t>
  </si>
  <si>
    <t xml:space="preserve"> $49-99 </t>
  </si>
  <si>
    <t xml:space="preserve"> $588-1188 </t>
  </si>
  <si>
    <t>NOT currently integrated. Recommended at 5K+ users or $50K MRR. Zendesk Suite Team $49/agent/mo to Professional $99/agent/mo.</t>
  </si>
  <si>
    <t>Support Agent (0.5 FTE)</t>
  </si>
  <si>
    <t>Part-time support for user inquiries, technical issues. Scales with user base. Trigger: 5K users.</t>
  </si>
  <si>
    <t>Crisis Hotline Integration (988)</t>
  </si>
  <si>
    <t>FREE government service. Native integration via tel: link. No external partnership needed. Continuous availability. Safety-critical feature.</t>
  </si>
  <si>
    <t>Email/Onboarding Automation</t>
  </si>
  <si>
    <t>1K+ users</t>
  </si>
  <si>
    <t xml:space="preserve"> $180-600 </t>
  </si>
  <si>
    <t>NOT currently implemented. Recommended for user retention. SendGrid Essentials $15/mo (40K emails) to Mailchimp $50/mo. Revenue-dependent.</t>
  </si>
  <si>
    <t>Knowledge Base / Help Center</t>
  </si>
  <si>
    <t>Future feature. In-app help, FAQs, troubleshooting guides. Development time (your time). Nice-to-have.</t>
  </si>
  <si>
    <t>Marketing &amp; Growth</t>
  </si>
  <si>
    <t>SEO &amp; Content Marketing</t>
  </si>
  <si>
    <t>No current marketing infrastructure. Future pre-launch and ongoing content creation. Your time. Timing flexible.</t>
  </si>
  <si>
    <t>Paid Acquisition (Ads)</t>
  </si>
  <si>
    <t>No current ad SDK integration. Future if growth strategy includes paid channels (Apple Search Ads, Google, Meta). Budget when CAC economics justify.</t>
  </si>
  <si>
    <t>Analytics Tools (Privacy-First)</t>
  </si>
  <si>
    <t>ZERO COST. Custom privacy-preserving analytics (BAA-free, differential privacy Œµ=0.1, k-anonymity k‚â•5). NO third-party vendors (Amplitude, Mixpanel). Saves $2000-5000/month. Currently implemented.</t>
  </si>
  <si>
    <t>Marketing Attribution</t>
  </si>
  <si>
    <t>NO attribution SDKs (Adjust, AppsFlyer, Branch). Privacy-first strategy. Future low priority.</t>
  </si>
  <si>
    <t>Affiliate Program</t>
  </si>
  <si>
    <t>Not in current codebase. Future feature if monetization strategy includes affiliates.</t>
  </si>
  <si>
    <t>Events &amp; Webinars</t>
  </si>
  <si>
    <t>Future marketing channel. Annual conference sponsorships, virtual events for Stoic Mindfulness education. Professional development overlap.</t>
  </si>
  <si>
    <t>Operations &amp; Admin</t>
  </si>
  <si>
    <t>Accounting &amp; Bookkeeping (Base)</t>
  </si>
  <si>
    <t>Business accounting services, tax preparation, financial reporting. Required for business operation.</t>
  </si>
  <si>
    <t>Accounting &amp; Bookkeeping (Variable)</t>
  </si>
  <si>
    <t xml:space="preserve"> $0-200 </t>
  </si>
  <si>
    <t xml:space="preserve"> $0-2400 </t>
  </si>
  <si>
    <t>Additional accounting for increased transaction volume, payroll, etc. Scales with complexity.</t>
  </si>
  <si>
    <t>Payment Processing (Apple IAP Commission)</t>
  </si>
  <si>
    <t xml:space="preserve"> 15-30% of revenue </t>
  </si>
  <si>
    <t xml:space="preserve"> N/A </t>
  </si>
  <si>
    <t>15% (subscriptions after year 1 for retained subscribers), 30% (monthly subscriptions). NOT separate processing fee, taken from revenue. Core revenue model.</t>
  </si>
  <si>
    <t>Payment Processing (Google Play Commission)</t>
  </si>
  <si>
    <t>15% (first $1M revenue/year), 30% (after $1M revenue/year). NOT separate processing fee. Core revenue model.</t>
  </si>
  <si>
    <t>Payment Processing (Stripe - Web)</t>
  </si>
  <si>
    <t xml:space="preserve"> 2.9% + $0.30 </t>
  </si>
  <si>
    <t>Implemented but not primary (IAP-first). For FEAT-38 (web subscriptions). Plus international card fees. Future feature.</t>
  </si>
  <si>
    <t>Business Banking</t>
  </si>
  <si>
    <t xml:space="preserve"> $30-50 </t>
  </si>
  <si>
    <t xml:space="preserve"> $360-600 </t>
  </si>
  <si>
    <t>Business checking account monthly fees. Required for business operation.</t>
  </si>
  <si>
    <t>Bookkeeping Software</t>
  </si>
  <si>
    <t xml:space="preserve"> $20-50 </t>
  </si>
  <si>
    <t xml:space="preserve"> $240-600 </t>
  </si>
  <si>
    <t>QuickBooks Online, Xero, or Wave. Essential for financial management.</t>
  </si>
  <si>
    <t>Business Insurance (General Liability)</t>
  </si>
  <si>
    <t xml:space="preserve"> $150-300 </t>
  </si>
  <si>
    <t xml:space="preserve"> $1800-3600 </t>
  </si>
  <si>
    <t>General business insurance, professional liability, errors &amp; omissions coverage. Annual premiums. Advisable for mental health app.</t>
  </si>
  <si>
    <t>Directors &amp; Officers Insurance (D&amp;O)</t>
  </si>
  <si>
    <t xml:space="preserve"> $150-250 </t>
  </si>
  <si>
    <t xml:space="preserve"> $1800-3000 </t>
  </si>
  <si>
    <t>Liability protection for business decisions. Annual premiums. Important but can defer to revenue.</t>
  </si>
  <si>
    <t>Employment Practices Liability (EPL)</t>
  </si>
  <si>
    <t xml:space="preserve"> $50-100 </t>
  </si>
  <si>
    <t xml:space="preserve"> $600-1200 </t>
  </si>
  <si>
    <t>Only needed when hiring employees. Annual premiums. Not relevant to solo dev model.</t>
  </si>
  <si>
    <t>Software Subscriptions (Core)</t>
  </si>
  <si>
    <t xml:space="preserve"> $50-150 </t>
  </si>
  <si>
    <t xml:space="preserve"> $600-1800 </t>
  </si>
  <si>
    <t>Microsoft 365 Business Standard (email, productivity), Notion (project management). Currently in use.</t>
  </si>
  <si>
    <t>Software Subscriptions (Variable)</t>
  </si>
  <si>
    <t xml:space="preserve"> $0-100 </t>
  </si>
  <si>
    <t xml:space="preserve"> $0-1200 </t>
  </si>
  <si>
    <t>Additional tools as needs scale. Analytics, monitoring, development tools. Growth-dependent.</t>
  </si>
  <si>
    <t>Corporate Filings &amp; Compliance</t>
  </si>
  <si>
    <t xml:space="preserve"> $17-83 </t>
  </si>
  <si>
    <t xml:space="preserve"> $200-1000 </t>
  </si>
  <si>
    <t>LLC annual reports, business licenses, registered agent fees. Legal requirement.</t>
  </si>
  <si>
    <t>Apple Developer Program</t>
  </si>
  <si>
    <t>Annual $99 fee. Required for App Store distribution, Sign in with Apple, TestFlight. Cannot launch without this.</t>
  </si>
  <si>
    <t>Google Play Console</t>
  </si>
  <si>
    <t>One-time $25 fee. Required for Play Store distribution. Cannot launch Android without this.</t>
  </si>
  <si>
    <t>Phone/Communication</t>
  </si>
  <si>
    <t>Business phone, VoIP service, communication tools. Professional but can use personal initially.</t>
  </si>
  <si>
    <t>Cloud Storage/Backup</t>
  </si>
  <si>
    <t>Google Workspace, Dropbox Business, or similar for business file storage. Data protection important.</t>
  </si>
  <si>
    <t>Password Management</t>
  </si>
  <si>
    <t xml:space="preserve"> $10-20 </t>
  </si>
  <si>
    <t xml:space="preserve"> $120-240 </t>
  </si>
  <si>
    <t>1Password Business, LastPass Business. Essential security tool. Currently needed.</t>
  </si>
  <si>
    <t>VPN/Security Tools</t>
  </si>
  <si>
    <t>NordVPN Teams, ExpressVPN Business for secure development. Good practice but not immediate.</t>
  </si>
  <si>
    <t>Miscellaneous Operational Expenses</t>
  </si>
  <si>
    <t xml:space="preserve"> $100-200 </t>
  </si>
  <si>
    <t xml:space="preserve"> $1200-2400 </t>
  </si>
  <si>
    <t>Supplies, software licenses, unexpected operational costs. Buffer category.</t>
  </si>
  <si>
    <t>Contingency (Fixed)</t>
  </si>
  <si>
    <t xml:space="preserve"> 10-15% of fixed </t>
  </si>
  <si>
    <t>Buffer for unexpected costs, infrastructure failures, emergency fixes. Prudent financial planning.</t>
  </si>
  <si>
    <t>Contingency (Variable)</t>
  </si>
  <si>
    <t xml:space="preserve"> 10-15% of variable </t>
  </si>
  <si>
    <t>Buffer for variable cost spikes, seasonal fluctuations, growth surges. Prudent financial planning.</t>
  </si>
  <si>
    <t>Future Features</t>
  </si>
  <si>
    <t>Web Application (FEAT-38) - Hosting</t>
  </si>
  <si>
    <t xml:space="preserve"> $15-65 </t>
  </si>
  <si>
    <t xml:space="preserve"> $180-780 </t>
  </si>
  <si>
    <t>Vercel free + SendGrid free ($0-27/mo pre-revenue) OR Vercel Pro $20 + SendGrid $15 + domain ($40-65/mo post-revenue). For web subscriptions via Stripe. Priority Score: 0 (low urgency).</t>
  </si>
  <si>
    <t>Web Application (FEAT-38) - Development</t>
  </si>
  <si>
    <t>XXL effort (8+ weeks solo dev time). Your time = $0. Priority Score: 0 (low urgency). Defer until revenue justifies. One-time development project.</t>
  </si>
  <si>
    <t>SQLite Migration (INFRA-37)</t>
  </si>
  <si>
    <t>Large effort (3-5 weeks solo dev time). NO additional tooling costs. Priority Score: 15.6 (HIGH). Enables all analytics features. Plan for 6-12 months. One-time migration project.</t>
  </si>
  <si>
    <t>Advanced Account Features (FEAT-16)</t>
  </si>
  <si>
    <t xml:space="preserve"> $0-5 </t>
  </si>
  <si>
    <t xml:space="preserve"> $0-60 </t>
  </si>
  <si>
    <t>Email/password auth via Supabase Auth (FREE). Email delivery $0 (free tier 30K emails/mo) to $5/mo overage. XXL effort (8+ weeks). Blocks 3 features. Priority 2.5. Plan for 6-12 months. One-time development with potential ongoing email costs.</t>
  </si>
  <si>
    <t>Classical Resources Library (FEAT-54)</t>
  </si>
  <si>
    <t>Public domain texts (FREE). Optional audio narration $100-500. Medium effort (2-3 weeks). Priority 10.4. Content enhancement. One-time curation.</t>
  </si>
  <si>
    <t>Domain-Specific Guidance (FEAT-55)</t>
  </si>
  <si>
    <t>Progress Measurement Dashboard (FEAT-56)</t>
  </si>
  <si>
    <t>Development time only. No additional infrastructure. Large effort. Priority 4.7. Feature enhancement. One-time development.</t>
  </si>
  <si>
    <t>Design &amp; UX</t>
  </si>
  <si>
    <t>Design Tools (Figma)</t>
  </si>
  <si>
    <t xml:space="preserve"> $0-15 </t>
  </si>
  <si>
    <t xml:space="preserve"> $0-180 </t>
  </si>
  <si>
    <t>Figma Free (sufficient for solo) or Professional $15/editor/mo for unlimited files, advanced features. Can start free.</t>
  </si>
  <si>
    <t>Icon &amp; Asset Libraries</t>
  </si>
  <si>
    <t xml:space="preserve"> $0-10 </t>
  </si>
  <si>
    <t xml:space="preserve"> $0-120 </t>
  </si>
  <si>
    <t>Noun Project, IconScout. Optional for polish. React Native Vector Icons (FREE) sufficient.</t>
  </si>
  <si>
    <t>LottieFiles (Animation Tools)</t>
  </si>
  <si>
    <t xml:space="preserve"> $0-35 </t>
  </si>
  <si>
    <t xml:space="preserve"> $0-420 </t>
  </si>
  <si>
    <t>Free tier or Creator $35/mo. Needed for roadmap P1-P2 features (breathing timer, badges). Plan for implementation phase.</t>
  </si>
  <si>
    <t>App Store Assets (Initial)</t>
  </si>
  <si>
    <t xml:space="preserve"> $400-1000 </t>
  </si>
  <si>
    <t>App icon ($100-500) + screenshots ($200-800) for iOS + Android. Consider DIY with Figma to reduce to $0. Launch requirement. One-time design.</t>
  </si>
  <si>
    <t>App Store Assets (Updates)</t>
  </si>
  <si>
    <t xml:space="preserve"> $17-50 </t>
  </si>
  <si>
    <t xml:space="preserve"> $200-600 </t>
  </si>
  <si>
    <t>Updates per major release (2-4√ó/year). $100-300 per update. Quality maintenance.</t>
  </si>
  <si>
    <t>App Preview Video (Optional)</t>
  </si>
  <si>
    <t xml:space="preserve"> $500-1000 </t>
  </si>
  <si>
    <t>Optional but high ROI for App Store conversion. Can defer to post-launch. One-time production.</t>
  </si>
  <si>
    <t>Brand Identity (Initial)</t>
  </si>
  <si>
    <t>Freelancer for logo suite, color palette, typography, basic brand guidelines for Stoic Mindfulness positioning. Phase 2 refinement $2K-5K optional. Important for launch quality. One-time branding work.</t>
  </si>
  <si>
    <t>Testing &amp; QA</t>
  </si>
  <si>
    <t>Device Testing (Physical Devices)</t>
  </si>
  <si>
    <t xml:space="preserve"> $1500-2000 </t>
  </si>
  <si>
    <t>One-time purchase: 2 iOS devices (current + 1-2 gen old) + 2 Android devices (mid-range + budget). Minimum for iOS/Android QA. Refresh $500-1000 every 2-3 years. Can use cloud alternative.</t>
  </si>
  <si>
    <t>Device Testing (Cloud Alternative)</t>
  </si>
  <si>
    <t>Expo Device Cloud INCLUDED in EAS Build Production plan ($99/mo already budgeted). Access to 100+ real devices. Currently available.</t>
  </si>
  <si>
    <t>TestFlight &amp; Beta Testing</t>
  </si>
  <si>
    <t>Apple TestFlight FREE. Google Play Internal Testing FREE. For beta users and QA. Continuous testing capability. Launch requirement.</t>
  </si>
  <si>
    <t>Automated Testing Infrastructure (GitHub Actions)</t>
  </si>
  <si>
    <t>Included in GitHub Actions line items above. Full test suite, clinical accuracy, crisis detection, performance, security. Currently implemented.</t>
  </si>
  <si>
    <t>Accessibility Testing Tools</t>
  </si>
  <si>
    <t>Some free (React Native Accessibility), some paid. WCAG AA compliance testing. Quality enhancement.</t>
  </si>
  <si>
    <t>User Research Tools</t>
  </si>
  <si>
    <t>Maze or UserTesting.com. Post-launch product validation. Recommended at 5K+ users. Growth-dependent.</t>
  </si>
  <si>
    <t>Team &amp; Contractors</t>
  </si>
  <si>
    <t>Solo Developer + AI-Assisted</t>
  </si>
  <si>
    <t>PRIMARY MODEL. Single developer (you) with AI coding assistance. Your time = $0 in model. Core operating model.</t>
  </si>
  <si>
    <t>Part-time Developer</t>
  </si>
  <si>
    <t>10K+ users</t>
  </si>
  <si>
    <t>Future if specific expertise needed (advanced animations, native modules). $50-150/hr. Trigger: 25K users or critical need. Unlikely.</t>
  </si>
  <si>
    <t>Part-time Designer</t>
  </si>
  <si>
    <t>Future for specialized design work (app redesign, marketing materials). $50-100/hr. Can DIY with AI tools.</t>
  </si>
  <si>
    <t>Part-time Product Manager</t>
  </si>
  <si>
    <t>50K+ users</t>
  </si>
  <si>
    <t>Future if product complexity increases. User research, roadmap, feature prioritization. $75-150/hr. Trigger: 50K users. Very unlikely.</t>
  </si>
  <si>
    <t>Professional Development</t>
  </si>
  <si>
    <t>Technical Training/Courses</t>
  </si>
  <si>
    <t xml:space="preserve"> $0-17 </t>
  </si>
  <si>
    <t>Udemy, Pluralsight, conferences. Stay current with React Native, Expo, security best practices. Professional growth.</t>
  </si>
  <si>
    <t>Apple WWDC Conference</t>
  </si>
  <si>
    <t xml:space="preserve"> $0-1599 </t>
  </si>
  <si>
    <t>Apple developer conference. Annual event. $1599 ticket. Virtual attendance FREE. Nice-to-have networking.</t>
  </si>
  <si>
    <t>Mental Health/Philosophy Conferences</t>
  </si>
  <si>
    <t>Stoic Week, mental health conferences for networking and learning. Annual events. Travel + registration. Optional networking.</t>
  </si>
  <si>
    <t>Stoic Philosophy Resources</t>
  </si>
  <si>
    <t xml:space="preserve"> $4-8 </t>
  </si>
  <si>
    <t>Books, academic journals, online courses on Stoicism. Content quality enhancement.</t>
  </si>
  <si>
    <t>Business Development</t>
  </si>
  <si>
    <t>Networking Events</t>
  </si>
  <si>
    <t>Local tech/startup meetups, mental health networking. Post-revenue. Optional.</t>
  </si>
  <si>
    <t>Industry Memberships</t>
  </si>
  <si>
    <t xml:space="preserve"> $8-25 </t>
  </si>
  <si>
    <t xml:space="preserve"> $100-300 </t>
  </si>
  <si>
    <t>Mental Health America, philosophy associations, app developer groups. Annual memberships. Post-revenue. Optional.</t>
  </si>
  <si>
    <t>Partnership Development</t>
  </si>
  <si>
    <t>Outreach to Stoic organizations, wellness partnerships. Post-revenue. Optional.</t>
  </si>
  <si>
    <t>Advisory Board Compensation</t>
  </si>
  <si>
    <t xml:space="preserve"> $0-83 </t>
  </si>
  <si>
    <t>Initially equity. Cash compensation at scale. Optional.</t>
  </si>
  <si>
    <t>Solo content development (FREE). XL effort (5-8 weeks). Priority 3.0. Content enhancement. One-time development.</t>
  </si>
  <si>
    <t>Periodic consultation (quarterly/bi-annually) pluls major content updates for classical source interpretation, framework integrity validation, prevents pop-philosophy dilution. NOT continuous FTE.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</si>
</sst>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4" fontId="0" fillId="0" borderId="0" xfId="1" applyFont="1"/>
    <xf numFmtId="44" fontId="0" fillId="0" borderId="0" xfId="1" applyFont="1" applyAlignment="1">
      <alignment horizontal="left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urrency" xfId="1" builtinId="4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ECC95-93BA-E742-8CDF-F456D018CBC0}">
  <dimension ref="A1:J115"/>
  <sheetViews>
    <sheetView tabSelected="1" topLeftCell="A25" workbookViewId="0">
      <selection activeCell="F58" sqref="F58"/>
    </sheetView>
  </sheetViews>
  <sheetFormatPr baseColWidth="10" defaultRowHeight="16" x14ac:dyDescent="0.2"/>
  <cols>
    <col min="1" max="1" width="29.1640625" bestFit="1" customWidth="1"/>
    <col min="2" max="2" width="45.6640625" bestFit="1" customWidth="1"/>
    <col min="3" max="3" width="12.1640625" customWidth="1"/>
    <col min="4" max="4" width="9.6640625" bestFit="1" customWidth="1"/>
    <col min="5" max="5" width="13.5" bestFit="1" customWidth="1"/>
    <col min="6" max="6" width="16.83203125" bestFit="1" customWidth="1"/>
    <col min="7" max="7" width="13.5" bestFit="1" customWidth="1"/>
    <col min="8" max="8" width="20.33203125" bestFit="1" customWidth="1"/>
    <col min="9" max="9" width="10.5" bestFit="1" customWidth="1"/>
    <col min="10" max="10" width="199.1640625" bestFit="1" customWidth="1"/>
  </cols>
  <sheetData>
    <row r="1" spans="1:10" x14ac:dyDescent="0.2">
      <c r="A1" t="s">
        <v>0</v>
      </c>
    </row>
    <row r="2" spans="1:10" x14ac:dyDescent="0.2">
      <c r="B2" t="s">
        <v>1</v>
      </c>
      <c r="C2" t="s">
        <v>2</v>
      </c>
    </row>
    <row r="3" spans="1:10" x14ac:dyDescent="0.2">
      <c r="B3" t="s">
        <v>3</v>
      </c>
      <c r="C3" t="s">
        <v>4</v>
      </c>
    </row>
    <row r="4" spans="1:10" x14ac:dyDescent="0.2">
      <c r="B4" t="s">
        <v>5</v>
      </c>
      <c r="C4" t="s">
        <v>6</v>
      </c>
    </row>
    <row r="5" spans="1:10" x14ac:dyDescent="0.2">
      <c r="B5" t="s">
        <v>7</v>
      </c>
      <c r="C5" t="s">
        <v>8</v>
      </c>
    </row>
    <row r="7" spans="1:10" x14ac:dyDescent="0.2">
      <c r="A7" t="s">
        <v>9</v>
      </c>
      <c r="B7" t="s">
        <v>10</v>
      </c>
      <c r="C7" t="s">
        <v>11</v>
      </c>
      <c r="D7" t="s">
        <v>12</v>
      </c>
      <c r="E7" t="s">
        <v>13</v>
      </c>
      <c r="F7" t="s">
        <v>14</v>
      </c>
      <c r="G7" t="s">
        <v>15</v>
      </c>
      <c r="H7" t="s">
        <v>16</v>
      </c>
      <c r="I7" t="s">
        <v>17</v>
      </c>
      <c r="J7" t="s">
        <v>18</v>
      </c>
    </row>
    <row r="8" spans="1:10" x14ac:dyDescent="0.2">
      <c r="A8" t="s">
        <v>19</v>
      </c>
      <c r="B8" t="s">
        <v>20</v>
      </c>
      <c r="C8" t="s">
        <v>21</v>
      </c>
      <c r="D8" t="s">
        <v>22</v>
      </c>
      <c r="E8" t="s">
        <v>23</v>
      </c>
      <c r="F8" s="1">
        <v>200</v>
      </c>
      <c r="G8" s="1" t="s">
        <v>24</v>
      </c>
      <c r="H8" s="1">
        <f>IF(F8=0,G8,F8*12)</f>
        <v>2400</v>
      </c>
      <c r="I8" t="s">
        <v>1</v>
      </c>
      <c r="J8" t="s">
        <v>25</v>
      </c>
    </row>
    <row r="9" spans="1:10" x14ac:dyDescent="0.2">
      <c r="A9" t="s">
        <v>19</v>
      </c>
      <c r="B9" t="s">
        <v>26</v>
      </c>
      <c r="C9" t="s">
        <v>21</v>
      </c>
      <c r="D9" t="s">
        <v>22</v>
      </c>
      <c r="E9" t="s">
        <v>23</v>
      </c>
      <c r="F9" s="1">
        <v>99</v>
      </c>
      <c r="G9" s="1">
        <v>1188</v>
      </c>
      <c r="H9" s="1">
        <f t="shared" ref="H9:H70" si="0">IF(F9=0,G9,F9*12)</f>
        <v>1188</v>
      </c>
      <c r="I9" t="s">
        <v>1</v>
      </c>
      <c r="J9" t="s">
        <v>27</v>
      </c>
    </row>
    <row r="10" spans="1:10" x14ac:dyDescent="0.2">
      <c r="A10" t="s">
        <v>19</v>
      </c>
      <c r="B10" t="s">
        <v>28</v>
      </c>
      <c r="C10" t="s">
        <v>21</v>
      </c>
      <c r="D10" t="s">
        <v>22</v>
      </c>
      <c r="E10" t="s">
        <v>29</v>
      </c>
      <c r="F10" s="1">
        <v>0</v>
      </c>
      <c r="G10" s="1">
        <v>0</v>
      </c>
      <c r="H10" s="1">
        <f t="shared" si="0"/>
        <v>0</v>
      </c>
      <c r="I10" t="s">
        <v>1</v>
      </c>
      <c r="J10" t="s">
        <v>30</v>
      </c>
    </row>
    <row r="11" spans="1:10" x14ac:dyDescent="0.2">
      <c r="A11" t="s">
        <v>19</v>
      </c>
      <c r="B11" t="s">
        <v>31</v>
      </c>
      <c r="C11" t="s">
        <v>21</v>
      </c>
      <c r="D11" t="s">
        <v>22</v>
      </c>
      <c r="E11" t="s">
        <v>32</v>
      </c>
      <c r="F11" s="1">
        <v>25</v>
      </c>
      <c r="G11" s="1">
        <v>300</v>
      </c>
      <c r="H11" s="1">
        <f t="shared" si="0"/>
        <v>300</v>
      </c>
      <c r="I11" t="s">
        <v>3</v>
      </c>
      <c r="J11" t="s">
        <v>33</v>
      </c>
    </row>
    <row r="12" spans="1:10" x14ac:dyDescent="0.2">
      <c r="A12" t="s">
        <v>19</v>
      </c>
      <c r="B12" t="s">
        <v>34</v>
      </c>
      <c r="C12" t="s">
        <v>21</v>
      </c>
      <c r="D12" t="s">
        <v>22</v>
      </c>
      <c r="E12" t="s">
        <v>35</v>
      </c>
      <c r="F12" s="1">
        <v>599</v>
      </c>
      <c r="G12" s="1">
        <v>7188</v>
      </c>
      <c r="H12" s="1">
        <f t="shared" si="0"/>
        <v>7188</v>
      </c>
      <c r="I12" t="s">
        <v>7</v>
      </c>
      <c r="J12" t="s">
        <v>36</v>
      </c>
    </row>
    <row r="13" spans="1:10" x14ac:dyDescent="0.2">
      <c r="A13" t="s">
        <v>19</v>
      </c>
      <c r="B13" t="s">
        <v>37</v>
      </c>
      <c r="C13" t="s">
        <v>38</v>
      </c>
      <c r="D13" t="s">
        <v>22</v>
      </c>
      <c r="E13" t="s">
        <v>39</v>
      </c>
      <c r="F13" s="1">
        <v>10</v>
      </c>
      <c r="G13" s="1" t="s">
        <v>40</v>
      </c>
      <c r="H13" s="1">
        <f t="shared" si="0"/>
        <v>120</v>
      </c>
      <c r="I13" t="s">
        <v>5</v>
      </c>
      <c r="J13" t="s">
        <v>41</v>
      </c>
    </row>
    <row r="14" spans="1:10" x14ac:dyDescent="0.2">
      <c r="A14" t="s">
        <v>19</v>
      </c>
      <c r="B14" t="s">
        <v>42</v>
      </c>
      <c r="C14" t="s">
        <v>21</v>
      </c>
      <c r="D14" t="s">
        <v>22</v>
      </c>
      <c r="E14" t="s">
        <v>23</v>
      </c>
      <c r="F14" s="2">
        <v>0</v>
      </c>
      <c r="G14" s="1">
        <v>0</v>
      </c>
      <c r="H14" s="1">
        <f t="shared" si="0"/>
        <v>0</v>
      </c>
      <c r="I14" t="s">
        <v>1</v>
      </c>
      <c r="J14" t="s">
        <v>43</v>
      </c>
    </row>
    <row r="15" spans="1:10" x14ac:dyDescent="0.2">
      <c r="A15" t="s">
        <v>19</v>
      </c>
      <c r="B15" t="s">
        <v>44</v>
      </c>
      <c r="C15" t="s">
        <v>21</v>
      </c>
      <c r="D15" t="s">
        <v>22</v>
      </c>
      <c r="E15" t="s">
        <v>45</v>
      </c>
      <c r="F15" s="1">
        <v>0</v>
      </c>
      <c r="G15" s="1">
        <v>0</v>
      </c>
      <c r="H15" s="1">
        <f t="shared" si="0"/>
        <v>0</v>
      </c>
      <c r="I15" t="s">
        <v>1</v>
      </c>
      <c r="J15" t="s">
        <v>46</v>
      </c>
    </row>
    <row r="16" spans="1:10" x14ac:dyDescent="0.2">
      <c r="A16" t="s">
        <v>19</v>
      </c>
      <c r="B16" t="s">
        <v>47</v>
      </c>
      <c r="C16" t="s">
        <v>21</v>
      </c>
      <c r="D16" t="s">
        <v>22</v>
      </c>
      <c r="E16" t="s">
        <v>48</v>
      </c>
      <c r="F16" s="1">
        <v>12</v>
      </c>
      <c r="G16" s="1" t="s">
        <v>49</v>
      </c>
      <c r="H16" s="1">
        <f t="shared" si="0"/>
        <v>144</v>
      </c>
      <c r="I16" t="s">
        <v>3</v>
      </c>
      <c r="J16" t="s">
        <v>50</v>
      </c>
    </row>
    <row r="17" spans="1:10" x14ac:dyDescent="0.2">
      <c r="A17" t="s">
        <v>19</v>
      </c>
      <c r="B17" t="s">
        <v>51</v>
      </c>
      <c r="C17" t="s">
        <v>21</v>
      </c>
      <c r="D17" t="s">
        <v>22</v>
      </c>
      <c r="E17" t="s">
        <v>23</v>
      </c>
      <c r="F17" s="1">
        <v>0</v>
      </c>
      <c r="G17" s="1">
        <v>35</v>
      </c>
      <c r="H17" s="1">
        <f t="shared" si="0"/>
        <v>35</v>
      </c>
      <c r="I17" t="s">
        <v>5</v>
      </c>
      <c r="J17" t="s">
        <v>52</v>
      </c>
    </row>
    <row r="18" spans="1:10" x14ac:dyDescent="0.2">
      <c r="A18" t="s">
        <v>19</v>
      </c>
      <c r="B18" t="s">
        <v>53</v>
      </c>
      <c r="C18" t="s">
        <v>21</v>
      </c>
      <c r="D18" t="s">
        <v>22</v>
      </c>
      <c r="E18" t="s">
        <v>23</v>
      </c>
      <c r="F18" s="1">
        <v>0</v>
      </c>
      <c r="G18" s="1">
        <v>0</v>
      </c>
      <c r="H18" s="1">
        <f t="shared" si="0"/>
        <v>0</v>
      </c>
      <c r="I18" t="s">
        <v>1</v>
      </c>
      <c r="J18" t="s">
        <v>54</v>
      </c>
    </row>
    <row r="19" spans="1:10" x14ac:dyDescent="0.2">
      <c r="A19" t="s">
        <v>19</v>
      </c>
      <c r="B19" t="s">
        <v>55</v>
      </c>
      <c r="C19" t="s">
        <v>21</v>
      </c>
      <c r="D19" t="s">
        <v>22</v>
      </c>
      <c r="E19" t="s">
        <v>56</v>
      </c>
      <c r="F19" s="1">
        <v>0</v>
      </c>
      <c r="G19" s="1">
        <v>0</v>
      </c>
      <c r="H19" s="1">
        <f t="shared" si="0"/>
        <v>0</v>
      </c>
      <c r="I19" t="s">
        <v>3</v>
      </c>
      <c r="J19" t="s">
        <v>57</v>
      </c>
    </row>
    <row r="20" spans="1:10" x14ac:dyDescent="0.2">
      <c r="A20" t="s">
        <v>19</v>
      </c>
      <c r="B20" t="s">
        <v>58</v>
      </c>
      <c r="C20" t="s">
        <v>21</v>
      </c>
      <c r="D20" t="s">
        <v>22</v>
      </c>
      <c r="E20" t="s">
        <v>59</v>
      </c>
      <c r="F20" s="1">
        <v>29</v>
      </c>
      <c r="G20" s="1">
        <v>348</v>
      </c>
      <c r="H20" s="1">
        <f t="shared" si="0"/>
        <v>348</v>
      </c>
      <c r="I20" t="s">
        <v>3</v>
      </c>
      <c r="J20" t="s">
        <v>60</v>
      </c>
    </row>
    <row r="21" spans="1:10" x14ac:dyDescent="0.2">
      <c r="A21" t="s">
        <v>19</v>
      </c>
      <c r="B21" t="s">
        <v>61</v>
      </c>
      <c r="C21" t="s">
        <v>21</v>
      </c>
      <c r="D21" t="s">
        <v>22</v>
      </c>
      <c r="E21" t="s">
        <v>32</v>
      </c>
      <c r="F21" s="1">
        <v>99</v>
      </c>
      <c r="G21" s="1">
        <v>1188</v>
      </c>
      <c r="H21" s="1">
        <f t="shared" si="0"/>
        <v>1188</v>
      </c>
      <c r="I21" t="s">
        <v>5</v>
      </c>
      <c r="J21" t="s">
        <v>62</v>
      </c>
    </row>
    <row r="22" spans="1:10" x14ac:dyDescent="0.2">
      <c r="A22" t="s">
        <v>19</v>
      </c>
      <c r="B22" t="s">
        <v>63</v>
      </c>
      <c r="C22" t="s">
        <v>21</v>
      </c>
      <c r="D22" t="s">
        <v>22</v>
      </c>
      <c r="E22" t="s">
        <v>23</v>
      </c>
      <c r="F22" s="1">
        <v>0</v>
      </c>
      <c r="G22" s="1">
        <v>0</v>
      </c>
      <c r="H22" s="1">
        <f t="shared" si="0"/>
        <v>0</v>
      </c>
      <c r="I22" t="s">
        <v>1</v>
      </c>
      <c r="J22" t="s">
        <v>64</v>
      </c>
    </row>
    <row r="23" spans="1:10" x14ac:dyDescent="0.2">
      <c r="A23" t="s">
        <v>65</v>
      </c>
      <c r="B23" t="s">
        <v>66</v>
      </c>
      <c r="C23" t="s">
        <v>21</v>
      </c>
      <c r="D23" t="s">
        <v>22</v>
      </c>
      <c r="E23" t="s">
        <v>23</v>
      </c>
      <c r="F23" s="1">
        <v>0</v>
      </c>
      <c r="G23" s="1">
        <v>500</v>
      </c>
      <c r="H23" s="1">
        <f t="shared" si="0"/>
        <v>500</v>
      </c>
      <c r="I23" t="s">
        <v>7</v>
      </c>
      <c r="J23" t="s">
        <v>337</v>
      </c>
    </row>
    <row r="24" spans="1:10" x14ac:dyDescent="0.2">
      <c r="A24" t="s">
        <v>65</v>
      </c>
      <c r="B24" t="s">
        <v>69</v>
      </c>
      <c r="C24" t="s">
        <v>21</v>
      </c>
      <c r="D24" t="s">
        <v>70</v>
      </c>
      <c r="E24" t="s">
        <v>23</v>
      </c>
      <c r="F24" s="1">
        <v>0</v>
      </c>
      <c r="G24" s="1">
        <v>0</v>
      </c>
      <c r="H24" s="1">
        <f t="shared" si="0"/>
        <v>0</v>
      </c>
      <c r="I24" t="s">
        <v>1</v>
      </c>
      <c r="J24" t="s">
        <v>71</v>
      </c>
    </row>
    <row r="25" spans="1:10" x14ac:dyDescent="0.2">
      <c r="A25" t="s">
        <v>65</v>
      </c>
      <c r="B25" t="s">
        <v>72</v>
      </c>
      <c r="C25" t="s">
        <v>21</v>
      </c>
      <c r="D25" t="s">
        <v>22</v>
      </c>
      <c r="E25" t="s">
        <v>23</v>
      </c>
      <c r="F25" s="1">
        <v>0</v>
      </c>
      <c r="G25" s="1">
        <v>0</v>
      </c>
      <c r="H25" s="1">
        <f t="shared" si="0"/>
        <v>0</v>
      </c>
      <c r="I25" t="s">
        <v>7</v>
      </c>
      <c r="J25" t="s">
        <v>73</v>
      </c>
    </row>
    <row r="26" spans="1:10" x14ac:dyDescent="0.2">
      <c r="A26" t="s">
        <v>65</v>
      </c>
      <c r="B26" t="s">
        <v>74</v>
      </c>
      <c r="C26" t="s">
        <v>21</v>
      </c>
      <c r="D26" t="s">
        <v>70</v>
      </c>
      <c r="E26" t="s">
        <v>23</v>
      </c>
      <c r="F26" s="1">
        <v>0</v>
      </c>
      <c r="G26" s="1">
        <v>0</v>
      </c>
      <c r="H26" s="1">
        <f t="shared" si="0"/>
        <v>0</v>
      </c>
      <c r="I26" t="s">
        <v>1</v>
      </c>
      <c r="J26" t="s">
        <v>75</v>
      </c>
    </row>
    <row r="27" spans="1:10" x14ac:dyDescent="0.2">
      <c r="A27" t="s">
        <v>65</v>
      </c>
      <c r="B27" t="s">
        <v>76</v>
      </c>
      <c r="C27" t="s">
        <v>38</v>
      </c>
      <c r="D27" t="s">
        <v>22</v>
      </c>
      <c r="E27" t="s">
        <v>23</v>
      </c>
      <c r="F27" s="1">
        <v>0</v>
      </c>
      <c r="G27" s="1">
        <v>0</v>
      </c>
      <c r="H27" s="1">
        <f t="shared" si="0"/>
        <v>0</v>
      </c>
      <c r="I27" t="s">
        <v>5</v>
      </c>
      <c r="J27" t="s">
        <v>77</v>
      </c>
    </row>
    <row r="28" spans="1:10" x14ac:dyDescent="0.2">
      <c r="A28" t="s">
        <v>65</v>
      </c>
      <c r="B28" t="s">
        <v>78</v>
      </c>
      <c r="C28" t="s">
        <v>21</v>
      </c>
      <c r="D28" t="s">
        <v>70</v>
      </c>
      <c r="E28" t="s">
        <v>23</v>
      </c>
      <c r="F28" s="1">
        <v>0</v>
      </c>
      <c r="G28" s="1">
        <v>1000</v>
      </c>
      <c r="H28" s="1">
        <f t="shared" si="0"/>
        <v>1000</v>
      </c>
      <c r="I28" t="s">
        <v>5</v>
      </c>
      <c r="J28" t="s">
        <v>79</v>
      </c>
    </row>
    <row r="29" spans="1:10" x14ac:dyDescent="0.2">
      <c r="A29" t="s">
        <v>65</v>
      </c>
      <c r="B29" t="s">
        <v>80</v>
      </c>
      <c r="C29" t="s">
        <v>21</v>
      </c>
      <c r="D29" t="s">
        <v>70</v>
      </c>
      <c r="E29" t="s">
        <v>23</v>
      </c>
      <c r="F29" s="1">
        <v>0</v>
      </c>
      <c r="G29" s="1">
        <v>0</v>
      </c>
      <c r="H29" s="1">
        <f t="shared" si="0"/>
        <v>0</v>
      </c>
      <c r="I29" t="s">
        <v>1</v>
      </c>
      <c r="J29" t="s">
        <v>81</v>
      </c>
    </row>
    <row r="30" spans="1:10" x14ac:dyDescent="0.2">
      <c r="A30" t="s">
        <v>65</v>
      </c>
      <c r="B30" t="s">
        <v>82</v>
      </c>
      <c r="C30" t="s">
        <v>38</v>
      </c>
      <c r="D30" t="s">
        <v>22</v>
      </c>
      <c r="E30" t="s">
        <v>23</v>
      </c>
      <c r="F30" s="1">
        <v>0</v>
      </c>
      <c r="G30" s="1">
        <v>0</v>
      </c>
      <c r="H30" s="1">
        <f t="shared" si="0"/>
        <v>0</v>
      </c>
      <c r="I30" t="s">
        <v>3</v>
      </c>
      <c r="J30" t="s">
        <v>83</v>
      </c>
    </row>
    <row r="31" spans="1:10" x14ac:dyDescent="0.2">
      <c r="A31" t="s">
        <v>65</v>
      </c>
      <c r="B31" t="s">
        <v>84</v>
      </c>
      <c r="C31" t="s">
        <v>21</v>
      </c>
      <c r="D31" t="s">
        <v>70</v>
      </c>
      <c r="E31" t="s">
        <v>23</v>
      </c>
      <c r="F31" s="1">
        <v>0</v>
      </c>
      <c r="G31" s="1">
        <v>0</v>
      </c>
      <c r="H31" s="1">
        <f t="shared" si="0"/>
        <v>0</v>
      </c>
      <c r="I31" t="s">
        <v>1</v>
      </c>
      <c r="J31" t="s">
        <v>85</v>
      </c>
    </row>
    <row r="32" spans="1:10" x14ac:dyDescent="0.2">
      <c r="A32" t="s">
        <v>86</v>
      </c>
      <c r="B32" t="s">
        <v>87</v>
      </c>
      <c r="C32" t="s">
        <v>21</v>
      </c>
      <c r="D32" t="s">
        <v>70</v>
      </c>
      <c r="E32" t="s">
        <v>23</v>
      </c>
      <c r="F32" s="1">
        <v>0</v>
      </c>
      <c r="G32" s="1" t="s">
        <v>88</v>
      </c>
      <c r="H32" s="1" t="str">
        <f t="shared" si="0"/>
        <v xml:space="preserve"> $2500-5000 </v>
      </c>
      <c r="I32" t="s">
        <v>1</v>
      </c>
      <c r="J32" t="s">
        <v>89</v>
      </c>
    </row>
    <row r="33" spans="1:10" x14ac:dyDescent="0.2">
      <c r="A33" t="s">
        <v>86</v>
      </c>
      <c r="B33" t="s">
        <v>90</v>
      </c>
      <c r="C33" t="s">
        <v>21</v>
      </c>
      <c r="D33" t="s">
        <v>70</v>
      </c>
      <c r="E33" t="s">
        <v>23</v>
      </c>
      <c r="F33" s="1">
        <v>0</v>
      </c>
      <c r="G33" s="1" t="s">
        <v>91</v>
      </c>
      <c r="H33" s="1" t="str">
        <f t="shared" si="0"/>
        <v xml:space="preserve"> $3000-8000 </v>
      </c>
      <c r="I33" t="s">
        <v>1</v>
      </c>
      <c r="J33" t="s">
        <v>92</v>
      </c>
    </row>
    <row r="34" spans="1:10" x14ac:dyDescent="0.2">
      <c r="A34" t="s">
        <v>86</v>
      </c>
      <c r="B34" t="s">
        <v>93</v>
      </c>
      <c r="C34" t="s">
        <v>38</v>
      </c>
      <c r="D34" t="s">
        <v>22</v>
      </c>
      <c r="E34" t="s">
        <v>23</v>
      </c>
      <c r="F34" s="1" t="s">
        <v>94</v>
      </c>
      <c r="G34" s="1" t="s">
        <v>95</v>
      </c>
      <c r="H34" s="1" t="e">
        <f t="shared" si="0"/>
        <v>#VALUE!</v>
      </c>
      <c r="I34" t="s">
        <v>3</v>
      </c>
      <c r="J34" t="s">
        <v>96</v>
      </c>
    </row>
    <row r="35" spans="1:10" x14ac:dyDescent="0.2">
      <c r="A35" t="s">
        <v>86</v>
      </c>
      <c r="B35" t="s">
        <v>97</v>
      </c>
      <c r="C35" t="s">
        <v>21</v>
      </c>
      <c r="D35" t="s">
        <v>70</v>
      </c>
      <c r="E35" t="s">
        <v>23</v>
      </c>
      <c r="F35" s="1">
        <v>0</v>
      </c>
      <c r="G35" s="1" t="s">
        <v>98</v>
      </c>
      <c r="H35" s="1" t="str">
        <f t="shared" si="0"/>
        <v xml:space="preserve"> $5000-10000 </v>
      </c>
      <c r="I35" t="s">
        <v>1</v>
      </c>
      <c r="J35" t="s">
        <v>99</v>
      </c>
    </row>
    <row r="36" spans="1:10" x14ac:dyDescent="0.2">
      <c r="A36" t="s">
        <v>86</v>
      </c>
      <c r="B36" t="s">
        <v>100</v>
      </c>
      <c r="C36" t="s">
        <v>38</v>
      </c>
      <c r="D36" t="s">
        <v>22</v>
      </c>
      <c r="E36" t="s">
        <v>23</v>
      </c>
      <c r="F36" s="1" t="s">
        <v>101</v>
      </c>
      <c r="G36" s="1" t="s">
        <v>102</v>
      </c>
      <c r="H36" s="1" t="e">
        <f t="shared" si="0"/>
        <v>#VALUE!</v>
      </c>
      <c r="I36" t="s">
        <v>3</v>
      </c>
      <c r="J36" t="s">
        <v>103</v>
      </c>
    </row>
    <row r="37" spans="1:10" x14ac:dyDescent="0.2">
      <c r="A37" t="s">
        <v>86</v>
      </c>
      <c r="B37" t="s">
        <v>104</v>
      </c>
      <c r="C37" t="s">
        <v>38</v>
      </c>
      <c r="D37" t="s">
        <v>22</v>
      </c>
      <c r="E37" t="s">
        <v>23</v>
      </c>
      <c r="F37" s="1" t="s">
        <v>105</v>
      </c>
      <c r="G37" s="1" t="s">
        <v>105</v>
      </c>
      <c r="H37" s="1" t="e">
        <f t="shared" si="0"/>
        <v>#VALUE!</v>
      </c>
      <c r="I37" t="s">
        <v>3</v>
      </c>
      <c r="J37" t="s">
        <v>106</v>
      </c>
    </row>
    <row r="38" spans="1:10" x14ac:dyDescent="0.2">
      <c r="A38" t="s">
        <v>86</v>
      </c>
      <c r="B38" t="s">
        <v>107</v>
      </c>
      <c r="C38" t="s">
        <v>21</v>
      </c>
      <c r="D38" t="s">
        <v>70</v>
      </c>
      <c r="E38" t="s">
        <v>23</v>
      </c>
      <c r="F38" s="1">
        <v>0</v>
      </c>
      <c r="G38" s="1" t="s">
        <v>108</v>
      </c>
      <c r="H38" s="1" t="str">
        <f t="shared" si="0"/>
        <v xml:space="preserve"> $5000-15000 </v>
      </c>
      <c r="I38" t="s">
        <v>1</v>
      </c>
      <c r="J38" t="s">
        <v>109</v>
      </c>
    </row>
    <row r="39" spans="1:10" x14ac:dyDescent="0.2">
      <c r="A39" t="s">
        <v>86</v>
      </c>
      <c r="B39" t="s">
        <v>110</v>
      </c>
      <c r="C39" t="s">
        <v>38</v>
      </c>
      <c r="D39" t="s">
        <v>22</v>
      </c>
      <c r="E39" t="s">
        <v>23</v>
      </c>
      <c r="F39" s="1"/>
      <c r="G39" s="1" t="s">
        <v>91</v>
      </c>
      <c r="H39" s="1" t="str">
        <f t="shared" si="0"/>
        <v xml:space="preserve"> $3000-8000 </v>
      </c>
      <c r="I39" t="s">
        <v>3</v>
      </c>
      <c r="J39" t="s">
        <v>111</v>
      </c>
    </row>
    <row r="40" spans="1:10" x14ac:dyDescent="0.2">
      <c r="A40" t="s">
        <v>86</v>
      </c>
      <c r="B40" t="s">
        <v>112</v>
      </c>
      <c r="C40" t="s">
        <v>21</v>
      </c>
      <c r="D40" t="s">
        <v>22</v>
      </c>
      <c r="E40" t="s">
        <v>23</v>
      </c>
      <c r="F40" s="1" t="s">
        <v>94</v>
      </c>
      <c r="G40" s="1" t="s">
        <v>95</v>
      </c>
      <c r="H40" s="1" t="e">
        <f t="shared" si="0"/>
        <v>#VALUE!</v>
      </c>
      <c r="I40" t="s">
        <v>3</v>
      </c>
      <c r="J40" t="s">
        <v>113</v>
      </c>
    </row>
    <row r="41" spans="1:10" x14ac:dyDescent="0.2">
      <c r="A41" t="s">
        <v>86</v>
      </c>
      <c r="B41" t="s">
        <v>114</v>
      </c>
      <c r="C41" t="s">
        <v>21</v>
      </c>
      <c r="D41" t="s">
        <v>22</v>
      </c>
      <c r="E41" t="s">
        <v>23</v>
      </c>
      <c r="F41" s="1">
        <v>0</v>
      </c>
      <c r="G41" s="1" t="s">
        <v>115</v>
      </c>
      <c r="H41" s="1" t="str">
        <f t="shared" si="0"/>
        <v xml:space="preserve"> $15000-50000 </v>
      </c>
      <c r="I41" t="s">
        <v>7</v>
      </c>
      <c r="J41" t="s">
        <v>116</v>
      </c>
    </row>
    <row r="42" spans="1:10" x14ac:dyDescent="0.2">
      <c r="A42" t="s">
        <v>86</v>
      </c>
      <c r="B42" t="s">
        <v>117</v>
      </c>
      <c r="C42" t="s">
        <v>21</v>
      </c>
      <c r="D42" t="s">
        <v>70</v>
      </c>
      <c r="E42" t="s">
        <v>23</v>
      </c>
      <c r="F42" s="1">
        <v>0</v>
      </c>
      <c r="G42" s="1" t="s">
        <v>118</v>
      </c>
      <c r="H42" s="1" t="str">
        <f t="shared" si="0"/>
        <v xml:space="preserve"> $500-2000 </v>
      </c>
      <c r="I42" t="s">
        <v>1</v>
      </c>
      <c r="J42" t="s">
        <v>119</v>
      </c>
    </row>
    <row r="43" spans="1:10" x14ac:dyDescent="0.2">
      <c r="A43" t="s">
        <v>86</v>
      </c>
      <c r="B43" t="s">
        <v>120</v>
      </c>
      <c r="C43" t="s">
        <v>38</v>
      </c>
      <c r="D43" t="s">
        <v>22</v>
      </c>
      <c r="E43" t="s">
        <v>23</v>
      </c>
      <c r="F43" s="1" t="s">
        <v>121</v>
      </c>
      <c r="G43" s="1" t="s">
        <v>122</v>
      </c>
      <c r="H43" s="1" t="e">
        <f t="shared" si="0"/>
        <v>#VALUE!</v>
      </c>
      <c r="I43" t="s">
        <v>3</v>
      </c>
      <c r="J43" t="s">
        <v>123</v>
      </c>
    </row>
    <row r="44" spans="1:10" x14ac:dyDescent="0.2">
      <c r="A44" t="s">
        <v>86</v>
      </c>
      <c r="B44" t="s">
        <v>124</v>
      </c>
      <c r="C44" t="s">
        <v>21</v>
      </c>
      <c r="D44" t="s">
        <v>70</v>
      </c>
      <c r="E44" t="s">
        <v>23</v>
      </c>
      <c r="F44" s="1">
        <v>0</v>
      </c>
      <c r="G44" s="1" t="s">
        <v>95</v>
      </c>
      <c r="H44" s="1" t="str">
        <f t="shared" si="0"/>
        <v xml:space="preserve"> $1000-3000 </v>
      </c>
      <c r="I44" t="s">
        <v>1</v>
      </c>
      <c r="J44" t="s">
        <v>125</v>
      </c>
    </row>
    <row r="45" spans="1:10" x14ac:dyDescent="0.2">
      <c r="A45" t="s">
        <v>86</v>
      </c>
      <c r="B45" t="s">
        <v>126</v>
      </c>
      <c r="C45" t="s">
        <v>38</v>
      </c>
      <c r="D45" t="s">
        <v>22</v>
      </c>
      <c r="E45" t="s">
        <v>23</v>
      </c>
      <c r="F45" s="1" t="s">
        <v>127</v>
      </c>
      <c r="G45" s="1" t="s">
        <v>128</v>
      </c>
      <c r="H45" s="1" t="e">
        <f t="shared" si="0"/>
        <v>#VALUE!</v>
      </c>
      <c r="I45" t="s">
        <v>5</v>
      </c>
      <c r="J45" t="s">
        <v>129</v>
      </c>
    </row>
    <row r="46" spans="1:10" x14ac:dyDescent="0.2">
      <c r="A46" t="s">
        <v>86</v>
      </c>
      <c r="B46" t="s">
        <v>130</v>
      </c>
      <c r="C46" t="s">
        <v>21</v>
      </c>
      <c r="D46" t="s">
        <v>70</v>
      </c>
      <c r="E46" t="s">
        <v>23</v>
      </c>
      <c r="F46" s="1">
        <v>0</v>
      </c>
      <c r="G46" s="1" t="s">
        <v>102</v>
      </c>
      <c r="H46" s="1" t="str">
        <f t="shared" si="0"/>
        <v xml:space="preserve"> $2000-5000 </v>
      </c>
      <c r="I46" t="s">
        <v>3</v>
      </c>
      <c r="J46" t="s">
        <v>131</v>
      </c>
    </row>
    <row r="47" spans="1:10" x14ac:dyDescent="0.2">
      <c r="A47" t="s">
        <v>86</v>
      </c>
      <c r="B47" t="s">
        <v>132</v>
      </c>
      <c r="C47" t="s">
        <v>38</v>
      </c>
      <c r="D47" t="s">
        <v>22</v>
      </c>
      <c r="E47" t="s">
        <v>23</v>
      </c>
      <c r="F47" s="1" t="s">
        <v>133</v>
      </c>
      <c r="G47" s="1" t="s">
        <v>134</v>
      </c>
      <c r="H47" s="1" t="e">
        <f t="shared" si="0"/>
        <v>#VALUE!</v>
      </c>
      <c r="I47" t="s">
        <v>5</v>
      </c>
      <c r="J47" t="s">
        <v>135</v>
      </c>
    </row>
    <row r="48" spans="1:10" x14ac:dyDescent="0.2">
      <c r="A48" t="s">
        <v>86</v>
      </c>
      <c r="B48" t="s">
        <v>136</v>
      </c>
      <c r="C48" t="s">
        <v>21</v>
      </c>
      <c r="D48" t="s">
        <v>70</v>
      </c>
      <c r="E48" t="s">
        <v>23</v>
      </c>
      <c r="F48" s="1">
        <v>0</v>
      </c>
      <c r="G48" s="1" t="s">
        <v>137</v>
      </c>
      <c r="H48" s="1" t="str">
        <f t="shared" si="0"/>
        <v xml:space="preserve"> $0-1000 </v>
      </c>
      <c r="I48" t="s">
        <v>3</v>
      </c>
      <c r="J48" t="s">
        <v>138</v>
      </c>
    </row>
    <row r="49" spans="1:10" x14ac:dyDescent="0.2">
      <c r="A49" t="s">
        <v>86</v>
      </c>
      <c r="B49" t="s">
        <v>139</v>
      </c>
      <c r="C49" t="s">
        <v>21</v>
      </c>
      <c r="D49" t="s">
        <v>70</v>
      </c>
      <c r="E49" t="s">
        <v>23</v>
      </c>
      <c r="F49" s="1">
        <v>0</v>
      </c>
      <c r="G49" s="1" t="s">
        <v>95</v>
      </c>
      <c r="H49" s="1" t="str">
        <f t="shared" si="0"/>
        <v xml:space="preserve"> $1000-3000 </v>
      </c>
      <c r="I49" t="s">
        <v>5</v>
      </c>
      <c r="J49" t="s">
        <v>140</v>
      </c>
    </row>
    <row r="50" spans="1:10" x14ac:dyDescent="0.2">
      <c r="A50" t="s">
        <v>86</v>
      </c>
      <c r="B50" t="s">
        <v>141</v>
      </c>
      <c r="C50" t="s">
        <v>38</v>
      </c>
      <c r="D50" t="s">
        <v>22</v>
      </c>
      <c r="E50" t="s">
        <v>23</v>
      </c>
      <c r="F50" s="1" t="s">
        <v>133</v>
      </c>
      <c r="G50" s="1" t="s">
        <v>134</v>
      </c>
      <c r="H50" s="1" t="e">
        <f t="shared" si="0"/>
        <v>#VALUE!</v>
      </c>
      <c r="I50" t="s">
        <v>5</v>
      </c>
      <c r="J50" t="s">
        <v>142</v>
      </c>
    </row>
    <row r="51" spans="1:10" x14ac:dyDescent="0.2">
      <c r="A51" t="s">
        <v>143</v>
      </c>
      <c r="B51" t="s">
        <v>144</v>
      </c>
      <c r="C51" t="s">
        <v>21</v>
      </c>
      <c r="D51" t="s">
        <v>22</v>
      </c>
      <c r="E51" t="s">
        <v>145</v>
      </c>
      <c r="F51" s="1" t="s">
        <v>146</v>
      </c>
      <c r="G51" s="1" t="s">
        <v>147</v>
      </c>
      <c r="H51" s="1" t="e">
        <f t="shared" si="0"/>
        <v>#VALUE!</v>
      </c>
      <c r="I51" t="s">
        <v>5</v>
      </c>
      <c r="J51" t="s">
        <v>148</v>
      </c>
    </row>
    <row r="52" spans="1:10" x14ac:dyDescent="0.2">
      <c r="A52" t="s">
        <v>143</v>
      </c>
      <c r="B52" t="s">
        <v>149</v>
      </c>
      <c r="C52" t="s">
        <v>38</v>
      </c>
      <c r="D52" t="s">
        <v>22</v>
      </c>
      <c r="E52" t="s">
        <v>145</v>
      </c>
      <c r="F52" s="1">
        <v>0</v>
      </c>
      <c r="G52" s="1">
        <v>0</v>
      </c>
      <c r="H52" s="1">
        <f t="shared" si="0"/>
        <v>0</v>
      </c>
      <c r="I52" t="s">
        <v>5</v>
      </c>
      <c r="J52" t="s">
        <v>150</v>
      </c>
    </row>
    <row r="53" spans="1:10" x14ac:dyDescent="0.2">
      <c r="A53" t="s">
        <v>143</v>
      </c>
      <c r="B53" t="s">
        <v>151</v>
      </c>
      <c r="C53" t="s">
        <v>21</v>
      </c>
      <c r="D53" t="s">
        <v>22</v>
      </c>
      <c r="E53" t="s">
        <v>23</v>
      </c>
      <c r="F53" s="1">
        <v>0</v>
      </c>
      <c r="G53" s="1">
        <v>0</v>
      </c>
      <c r="H53" s="1">
        <f t="shared" si="0"/>
        <v>0</v>
      </c>
      <c r="I53" t="s">
        <v>1</v>
      </c>
      <c r="J53" t="s">
        <v>152</v>
      </c>
    </row>
    <row r="54" spans="1:10" x14ac:dyDescent="0.2">
      <c r="A54" t="s">
        <v>143</v>
      </c>
      <c r="B54" t="s">
        <v>153</v>
      </c>
      <c r="C54" t="s">
        <v>21</v>
      </c>
      <c r="D54" t="s">
        <v>22</v>
      </c>
      <c r="E54" t="s">
        <v>154</v>
      </c>
      <c r="F54" s="1">
        <v>15</v>
      </c>
      <c r="G54" s="1" t="s">
        <v>155</v>
      </c>
      <c r="H54" s="1">
        <f t="shared" si="0"/>
        <v>180</v>
      </c>
      <c r="I54" t="s">
        <v>5</v>
      </c>
      <c r="J54" t="s">
        <v>156</v>
      </c>
    </row>
    <row r="55" spans="1:10" x14ac:dyDescent="0.2">
      <c r="A55" t="s">
        <v>143</v>
      </c>
      <c r="B55" t="s">
        <v>157</v>
      </c>
      <c r="C55" t="s">
        <v>21</v>
      </c>
      <c r="D55" t="s">
        <v>70</v>
      </c>
      <c r="E55" t="s">
        <v>23</v>
      </c>
      <c r="F55" s="1">
        <v>0</v>
      </c>
      <c r="G55" s="1">
        <v>0</v>
      </c>
      <c r="H55" s="1">
        <f t="shared" si="0"/>
        <v>0</v>
      </c>
      <c r="I55" t="s">
        <v>7</v>
      </c>
      <c r="J55" t="s">
        <v>158</v>
      </c>
    </row>
    <row r="56" spans="1:10" x14ac:dyDescent="0.2">
      <c r="A56" t="s">
        <v>159</v>
      </c>
      <c r="B56" t="s">
        <v>160</v>
      </c>
      <c r="C56" t="s">
        <v>21</v>
      </c>
      <c r="D56" t="s">
        <v>22</v>
      </c>
      <c r="E56" t="s">
        <v>23</v>
      </c>
      <c r="F56" s="1">
        <v>0</v>
      </c>
      <c r="G56" s="1">
        <v>0</v>
      </c>
      <c r="H56" s="1">
        <f t="shared" si="0"/>
        <v>0</v>
      </c>
      <c r="I56" t="s">
        <v>5</v>
      </c>
      <c r="J56" t="s">
        <v>161</v>
      </c>
    </row>
    <row r="57" spans="1:10" x14ac:dyDescent="0.2">
      <c r="A57" t="s">
        <v>159</v>
      </c>
      <c r="B57" t="s">
        <v>162</v>
      </c>
      <c r="C57" t="s">
        <v>38</v>
      </c>
      <c r="D57" t="s">
        <v>22</v>
      </c>
      <c r="E57" t="s">
        <v>23</v>
      </c>
      <c r="F57" s="1">
        <v>0</v>
      </c>
      <c r="G57" s="1">
        <v>0</v>
      </c>
      <c r="H57" s="1">
        <f t="shared" si="0"/>
        <v>0</v>
      </c>
      <c r="I57" t="s">
        <v>7</v>
      </c>
      <c r="J57" t="s">
        <v>163</v>
      </c>
    </row>
    <row r="58" spans="1:10" x14ac:dyDescent="0.2">
      <c r="A58" t="s">
        <v>159</v>
      </c>
      <c r="B58" t="s">
        <v>164</v>
      </c>
      <c r="C58" t="s">
        <v>21</v>
      </c>
      <c r="D58" t="s">
        <v>22</v>
      </c>
      <c r="E58" t="s">
        <v>23</v>
      </c>
      <c r="F58" s="1">
        <v>0</v>
      </c>
      <c r="G58" s="1">
        <v>0</v>
      </c>
      <c r="H58" s="1">
        <f t="shared" si="0"/>
        <v>0</v>
      </c>
      <c r="I58" t="s">
        <v>1</v>
      </c>
      <c r="J58" t="s">
        <v>165</v>
      </c>
    </row>
    <row r="59" spans="1:10" x14ac:dyDescent="0.2">
      <c r="A59" t="s">
        <v>159</v>
      </c>
      <c r="B59" t="s">
        <v>166</v>
      </c>
      <c r="C59" t="s">
        <v>38</v>
      </c>
      <c r="D59" t="s">
        <v>22</v>
      </c>
      <c r="E59" t="s">
        <v>23</v>
      </c>
      <c r="F59" s="1">
        <v>0</v>
      </c>
      <c r="G59" s="1">
        <v>0</v>
      </c>
      <c r="H59" s="1">
        <f t="shared" si="0"/>
        <v>0</v>
      </c>
      <c r="I59" t="s">
        <v>7</v>
      </c>
      <c r="J59" t="s">
        <v>167</v>
      </c>
    </row>
    <row r="60" spans="1:10" x14ac:dyDescent="0.2">
      <c r="A60" t="s">
        <v>159</v>
      </c>
      <c r="B60" t="s">
        <v>168</v>
      </c>
      <c r="C60" t="s">
        <v>38</v>
      </c>
      <c r="D60" t="s">
        <v>22</v>
      </c>
      <c r="E60" t="s">
        <v>23</v>
      </c>
      <c r="F60" s="1">
        <v>0</v>
      </c>
      <c r="G60" s="1">
        <v>0</v>
      </c>
      <c r="H60" s="1">
        <f t="shared" si="0"/>
        <v>0</v>
      </c>
      <c r="I60" t="s">
        <v>7</v>
      </c>
      <c r="J60" t="s">
        <v>169</v>
      </c>
    </row>
    <row r="61" spans="1:10" x14ac:dyDescent="0.2">
      <c r="A61" t="s">
        <v>159</v>
      </c>
      <c r="B61" t="s">
        <v>170</v>
      </c>
      <c r="C61" t="s">
        <v>21</v>
      </c>
      <c r="D61" t="s">
        <v>22</v>
      </c>
      <c r="E61" t="s">
        <v>23</v>
      </c>
      <c r="F61" s="1" t="s">
        <v>67</v>
      </c>
      <c r="G61" s="1" t="s">
        <v>68</v>
      </c>
      <c r="H61" s="1" t="e">
        <f t="shared" si="0"/>
        <v>#VALUE!</v>
      </c>
      <c r="I61" t="s">
        <v>7</v>
      </c>
      <c r="J61" t="s">
        <v>171</v>
      </c>
    </row>
    <row r="62" spans="1:10" x14ac:dyDescent="0.2">
      <c r="A62" t="s">
        <v>172</v>
      </c>
      <c r="B62" t="s">
        <v>173</v>
      </c>
      <c r="C62" t="s">
        <v>21</v>
      </c>
      <c r="D62" t="s">
        <v>22</v>
      </c>
      <c r="E62" t="s">
        <v>23</v>
      </c>
      <c r="F62" s="1">
        <v>0</v>
      </c>
      <c r="G62" s="1">
        <v>1000</v>
      </c>
      <c r="H62" s="1">
        <f t="shared" si="0"/>
        <v>1000</v>
      </c>
      <c r="I62" t="s">
        <v>1</v>
      </c>
      <c r="J62" t="s">
        <v>174</v>
      </c>
    </row>
    <row r="63" spans="1:10" x14ac:dyDescent="0.2">
      <c r="A63" t="s">
        <v>172</v>
      </c>
      <c r="B63" t="s">
        <v>175</v>
      </c>
      <c r="C63" t="s">
        <v>38</v>
      </c>
      <c r="D63" t="s">
        <v>22</v>
      </c>
      <c r="E63" t="s">
        <v>23</v>
      </c>
      <c r="F63" s="1" t="s">
        <v>176</v>
      </c>
      <c r="G63" s="1" t="s">
        <v>177</v>
      </c>
      <c r="H63" s="1" t="e">
        <f t="shared" si="0"/>
        <v>#VALUE!</v>
      </c>
      <c r="I63" t="s">
        <v>3</v>
      </c>
      <c r="J63" t="s">
        <v>178</v>
      </c>
    </row>
    <row r="64" spans="1:10" x14ac:dyDescent="0.2">
      <c r="A64" t="s">
        <v>172</v>
      </c>
      <c r="B64" t="s">
        <v>179</v>
      </c>
      <c r="C64" t="s">
        <v>38</v>
      </c>
      <c r="D64" t="s">
        <v>22</v>
      </c>
      <c r="E64" t="s">
        <v>23</v>
      </c>
      <c r="F64" s="1" t="s">
        <v>180</v>
      </c>
      <c r="G64" s="1" t="s">
        <v>181</v>
      </c>
      <c r="H64" s="1" t="e">
        <f t="shared" si="0"/>
        <v>#VALUE!</v>
      </c>
      <c r="I64" t="s">
        <v>1</v>
      </c>
      <c r="J64" t="s">
        <v>182</v>
      </c>
    </row>
    <row r="65" spans="1:10" x14ac:dyDescent="0.2">
      <c r="A65" t="s">
        <v>172</v>
      </c>
      <c r="B65" t="s">
        <v>183</v>
      </c>
      <c r="C65" t="s">
        <v>38</v>
      </c>
      <c r="D65" t="s">
        <v>22</v>
      </c>
      <c r="E65" t="s">
        <v>23</v>
      </c>
      <c r="F65" s="1" t="s">
        <v>180</v>
      </c>
      <c r="G65" s="1" t="s">
        <v>181</v>
      </c>
      <c r="H65" s="1" t="e">
        <f t="shared" si="0"/>
        <v>#VALUE!</v>
      </c>
      <c r="I65" t="s">
        <v>1</v>
      </c>
      <c r="J65" t="s">
        <v>184</v>
      </c>
    </row>
    <row r="66" spans="1:10" x14ac:dyDescent="0.2">
      <c r="A66" t="s">
        <v>172</v>
      </c>
      <c r="B66" t="s">
        <v>185</v>
      </c>
      <c r="C66" t="s">
        <v>38</v>
      </c>
      <c r="D66" t="s">
        <v>22</v>
      </c>
      <c r="E66" t="s">
        <v>23</v>
      </c>
      <c r="F66" s="1" t="s">
        <v>186</v>
      </c>
      <c r="G66" s="1" t="s">
        <v>181</v>
      </c>
      <c r="H66" s="1" t="e">
        <f t="shared" si="0"/>
        <v>#VALUE!</v>
      </c>
      <c r="I66" t="s">
        <v>5</v>
      </c>
      <c r="J66" t="s">
        <v>187</v>
      </c>
    </row>
    <row r="67" spans="1:10" x14ac:dyDescent="0.2">
      <c r="A67" t="s">
        <v>172</v>
      </c>
      <c r="B67" t="s">
        <v>188</v>
      </c>
      <c r="C67" t="s">
        <v>21</v>
      </c>
      <c r="D67" t="s">
        <v>22</v>
      </c>
      <c r="E67" t="s">
        <v>23</v>
      </c>
      <c r="F67" s="1" t="s">
        <v>189</v>
      </c>
      <c r="G67" s="1" t="s">
        <v>190</v>
      </c>
      <c r="H67" s="1" t="e">
        <f t="shared" si="0"/>
        <v>#VALUE!</v>
      </c>
      <c r="I67" t="s">
        <v>1</v>
      </c>
      <c r="J67" t="s">
        <v>191</v>
      </c>
    </row>
    <row r="68" spans="1:10" x14ac:dyDescent="0.2">
      <c r="A68" t="s">
        <v>172</v>
      </c>
      <c r="B68" t="s">
        <v>192</v>
      </c>
      <c r="C68" t="s">
        <v>21</v>
      </c>
      <c r="D68" t="s">
        <v>22</v>
      </c>
      <c r="E68" t="s">
        <v>23</v>
      </c>
      <c r="F68" s="1" t="s">
        <v>193</v>
      </c>
      <c r="G68" s="1" t="s">
        <v>194</v>
      </c>
      <c r="H68" s="1" t="e">
        <f t="shared" si="0"/>
        <v>#VALUE!</v>
      </c>
      <c r="I68" t="s">
        <v>1</v>
      </c>
      <c r="J68" t="s">
        <v>195</v>
      </c>
    </row>
    <row r="69" spans="1:10" x14ac:dyDescent="0.2">
      <c r="A69" t="s">
        <v>172</v>
      </c>
      <c r="B69" t="s">
        <v>196</v>
      </c>
      <c r="C69" t="s">
        <v>21</v>
      </c>
      <c r="D69" t="s">
        <v>22</v>
      </c>
      <c r="E69" t="s">
        <v>23</v>
      </c>
      <c r="F69" s="1" t="s">
        <v>197</v>
      </c>
      <c r="G69" s="1" t="s">
        <v>198</v>
      </c>
      <c r="H69" s="1" t="e">
        <f t="shared" si="0"/>
        <v>#VALUE!</v>
      </c>
      <c r="I69" t="s">
        <v>3</v>
      </c>
      <c r="J69" t="s">
        <v>199</v>
      </c>
    </row>
    <row r="70" spans="1:10" x14ac:dyDescent="0.2">
      <c r="A70" t="s">
        <v>172</v>
      </c>
      <c r="B70" t="s">
        <v>200</v>
      </c>
      <c r="C70" t="s">
        <v>21</v>
      </c>
      <c r="D70" t="s">
        <v>22</v>
      </c>
      <c r="E70" t="s">
        <v>23</v>
      </c>
      <c r="F70" s="1" t="s">
        <v>201</v>
      </c>
      <c r="G70" s="1" t="s">
        <v>202</v>
      </c>
      <c r="H70" s="1" t="e">
        <f t="shared" si="0"/>
        <v>#VALUE!</v>
      </c>
      <c r="I70" t="s">
        <v>5</v>
      </c>
      <c r="J70" t="s">
        <v>203</v>
      </c>
    </row>
    <row r="71" spans="1:10" x14ac:dyDescent="0.2">
      <c r="A71" t="s">
        <v>172</v>
      </c>
      <c r="B71" t="s">
        <v>204</v>
      </c>
      <c r="C71" t="s">
        <v>21</v>
      </c>
      <c r="D71" t="s">
        <v>22</v>
      </c>
      <c r="E71" t="s">
        <v>23</v>
      </c>
      <c r="F71" s="1" t="s">
        <v>205</v>
      </c>
      <c r="G71" s="1" t="s">
        <v>206</v>
      </c>
      <c r="H71" s="1" t="e">
        <f t="shared" ref="H71:H115" si="1">IF(F71=0,G71,F71*12)</f>
        <v>#VALUE!</v>
      </c>
      <c r="I71" t="s">
        <v>7</v>
      </c>
      <c r="J71" t="s">
        <v>207</v>
      </c>
    </row>
    <row r="72" spans="1:10" x14ac:dyDescent="0.2">
      <c r="A72" t="s">
        <v>172</v>
      </c>
      <c r="B72" t="s">
        <v>208</v>
      </c>
      <c r="C72" t="s">
        <v>21</v>
      </c>
      <c r="D72" t="s">
        <v>22</v>
      </c>
      <c r="E72" t="s">
        <v>23</v>
      </c>
      <c r="F72" s="1" t="s">
        <v>209</v>
      </c>
      <c r="G72" s="1" t="s">
        <v>210</v>
      </c>
      <c r="H72" s="1" t="e">
        <f t="shared" si="1"/>
        <v>#VALUE!</v>
      </c>
      <c r="I72" t="s">
        <v>1</v>
      </c>
      <c r="J72" t="s">
        <v>211</v>
      </c>
    </row>
    <row r="73" spans="1:10" x14ac:dyDescent="0.2">
      <c r="A73" t="s">
        <v>172</v>
      </c>
      <c r="B73" t="s">
        <v>212</v>
      </c>
      <c r="C73" t="s">
        <v>38</v>
      </c>
      <c r="D73" t="s">
        <v>22</v>
      </c>
      <c r="E73" t="s">
        <v>23</v>
      </c>
      <c r="F73" s="1" t="s">
        <v>213</v>
      </c>
      <c r="G73" s="1" t="s">
        <v>214</v>
      </c>
      <c r="H73" s="1" t="e">
        <f t="shared" si="1"/>
        <v>#VALUE!</v>
      </c>
      <c r="I73" t="s">
        <v>5</v>
      </c>
      <c r="J73" t="s">
        <v>215</v>
      </c>
    </row>
    <row r="74" spans="1:10" x14ac:dyDescent="0.2">
      <c r="A74" t="s">
        <v>172</v>
      </c>
      <c r="B74" t="s">
        <v>216</v>
      </c>
      <c r="C74" t="s">
        <v>21</v>
      </c>
      <c r="D74" t="s">
        <v>22</v>
      </c>
      <c r="E74" t="s">
        <v>23</v>
      </c>
      <c r="F74" s="1" t="s">
        <v>217</v>
      </c>
      <c r="G74" s="1" t="s">
        <v>218</v>
      </c>
      <c r="H74" s="1" t="e">
        <f t="shared" si="1"/>
        <v>#VALUE!</v>
      </c>
      <c r="I74" t="s">
        <v>1</v>
      </c>
      <c r="J74" t="s">
        <v>219</v>
      </c>
    </row>
    <row r="75" spans="1:10" x14ac:dyDescent="0.2">
      <c r="A75" t="s">
        <v>172</v>
      </c>
      <c r="B75" t="s">
        <v>220</v>
      </c>
      <c r="C75" t="s">
        <v>21</v>
      </c>
      <c r="D75" t="s">
        <v>22</v>
      </c>
      <c r="E75" t="s">
        <v>23</v>
      </c>
      <c r="F75" s="1">
        <v>8.25</v>
      </c>
      <c r="G75" s="1">
        <v>99</v>
      </c>
      <c r="H75" s="1">
        <f t="shared" si="1"/>
        <v>99</v>
      </c>
      <c r="I75" t="s">
        <v>1</v>
      </c>
      <c r="J75" t="s">
        <v>221</v>
      </c>
    </row>
    <row r="76" spans="1:10" x14ac:dyDescent="0.2">
      <c r="A76" t="s">
        <v>172</v>
      </c>
      <c r="B76" t="s">
        <v>222</v>
      </c>
      <c r="C76" t="s">
        <v>21</v>
      </c>
      <c r="D76" t="s">
        <v>70</v>
      </c>
      <c r="E76" t="s">
        <v>23</v>
      </c>
      <c r="F76" s="1">
        <v>0</v>
      </c>
      <c r="G76" s="1">
        <v>25</v>
      </c>
      <c r="H76" s="1">
        <f t="shared" si="1"/>
        <v>25</v>
      </c>
      <c r="I76" t="s">
        <v>1</v>
      </c>
      <c r="J76" t="s">
        <v>223</v>
      </c>
    </row>
    <row r="77" spans="1:10" x14ac:dyDescent="0.2">
      <c r="A77" t="s">
        <v>172</v>
      </c>
      <c r="B77" t="s">
        <v>224</v>
      </c>
      <c r="C77" t="s">
        <v>21</v>
      </c>
      <c r="D77" t="s">
        <v>22</v>
      </c>
      <c r="E77" t="s">
        <v>23</v>
      </c>
      <c r="F77" s="1" t="s">
        <v>205</v>
      </c>
      <c r="G77" s="1" t="s">
        <v>206</v>
      </c>
      <c r="H77" s="1" t="e">
        <f t="shared" si="1"/>
        <v>#VALUE!</v>
      </c>
      <c r="I77" t="s">
        <v>5</v>
      </c>
      <c r="J77" t="s">
        <v>225</v>
      </c>
    </row>
    <row r="78" spans="1:10" x14ac:dyDescent="0.2">
      <c r="A78" t="s">
        <v>172</v>
      </c>
      <c r="B78" t="s">
        <v>226</v>
      </c>
      <c r="C78" t="s">
        <v>21</v>
      </c>
      <c r="D78" t="s">
        <v>22</v>
      </c>
      <c r="E78" t="s">
        <v>23</v>
      </c>
      <c r="F78" s="1" t="s">
        <v>205</v>
      </c>
      <c r="G78" s="1" t="s">
        <v>206</v>
      </c>
      <c r="H78" s="1" t="e">
        <f t="shared" si="1"/>
        <v>#VALUE!</v>
      </c>
      <c r="I78" t="s">
        <v>3</v>
      </c>
      <c r="J78" t="s">
        <v>227</v>
      </c>
    </row>
    <row r="79" spans="1:10" x14ac:dyDescent="0.2">
      <c r="A79" t="s">
        <v>172</v>
      </c>
      <c r="B79" t="s">
        <v>228</v>
      </c>
      <c r="C79" t="s">
        <v>21</v>
      </c>
      <c r="D79" t="s">
        <v>22</v>
      </c>
      <c r="E79" t="s">
        <v>23</v>
      </c>
      <c r="F79" s="1" t="s">
        <v>229</v>
      </c>
      <c r="G79" s="1" t="s">
        <v>230</v>
      </c>
      <c r="H79" s="1" t="e">
        <f t="shared" si="1"/>
        <v>#VALUE!</v>
      </c>
      <c r="I79" t="s">
        <v>1</v>
      </c>
      <c r="J79" t="s">
        <v>231</v>
      </c>
    </row>
    <row r="80" spans="1:10" x14ac:dyDescent="0.2">
      <c r="A80" t="s">
        <v>172</v>
      </c>
      <c r="B80" t="s">
        <v>232</v>
      </c>
      <c r="C80" t="s">
        <v>21</v>
      </c>
      <c r="D80" t="s">
        <v>22</v>
      </c>
      <c r="E80" t="s">
        <v>23</v>
      </c>
      <c r="F80" s="1" t="s">
        <v>193</v>
      </c>
      <c r="G80" s="1" t="s">
        <v>194</v>
      </c>
      <c r="H80" s="1" t="e">
        <f t="shared" si="1"/>
        <v>#VALUE!</v>
      </c>
      <c r="I80" t="s">
        <v>5</v>
      </c>
      <c r="J80" t="s">
        <v>233</v>
      </c>
    </row>
    <row r="81" spans="1:10" x14ac:dyDescent="0.2">
      <c r="A81" t="s">
        <v>172</v>
      </c>
      <c r="B81" t="s">
        <v>234</v>
      </c>
      <c r="C81" t="s">
        <v>38</v>
      </c>
      <c r="D81" t="s">
        <v>22</v>
      </c>
      <c r="E81" t="s">
        <v>23</v>
      </c>
      <c r="F81" s="1" t="s">
        <v>235</v>
      </c>
      <c r="G81" s="1" t="s">
        <v>236</v>
      </c>
      <c r="H81" s="1" t="e">
        <f t="shared" si="1"/>
        <v>#VALUE!</v>
      </c>
      <c r="I81" t="s">
        <v>5</v>
      </c>
      <c r="J81" t="s">
        <v>237</v>
      </c>
    </row>
    <row r="82" spans="1:10" x14ac:dyDescent="0.2">
      <c r="A82" t="s">
        <v>172</v>
      </c>
      <c r="B82" t="s">
        <v>238</v>
      </c>
      <c r="C82" t="s">
        <v>21</v>
      </c>
      <c r="D82" t="s">
        <v>22</v>
      </c>
      <c r="E82" t="s">
        <v>23</v>
      </c>
      <c r="F82" s="1" t="s">
        <v>239</v>
      </c>
      <c r="G82" s="1" t="s">
        <v>181</v>
      </c>
      <c r="H82" s="1" t="e">
        <f t="shared" si="1"/>
        <v>#VALUE!</v>
      </c>
      <c r="I82" t="s">
        <v>3</v>
      </c>
      <c r="J82" t="s">
        <v>240</v>
      </c>
    </row>
    <row r="83" spans="1:10" x14ac:dyDescent="0.2">
      <c r="A83" t="s">
        <v>172</v>
      </c>
      <c r="B83" t="s">
        <v>241</v>
      </c>
      <c r="C83" t="s">
        <v>38</v>
      </c>
      <c r="D83" t="s">
        <v>22</v>
      </c>
      <c r="E83" t="s">
        <v>23</v>
      </c>
      <c r="F83" s="1" t="s">
        <v>242</v>
      </c>
      <c r="G83" s="1" t="s">
        <v>181</v>
      </c>
      <c r="H83" s="1" t="e">
        <f t="shared" si="1"/>
        <v>#VALUE!</v>
      </c>
      <c r="I83" t="s">
        <v>3</v>
      </c>
      <c r="J83" t="s">
        <v>243</v>
      </c>
    </row>
    <row r="84" spans="1:10" x14ac:dyDescent="0.2">
      <c r="A84" t="s">
        <v>244</v>
      </c>
      <c r="B84" t="s">
        <v>245</v>
      </c>
      <c r="C84" t="s">
        <v>21</v>
      </c>
      <c r="D84" t="s">
        <v>22</v>
      </c>
      <c r="E84" t="s">
        <v>23</v>
      </c>
      <c r="F84" s="1" t="s">
        <v>246</v>
      </c>
      <c r="G84" s="1" t="s">
        <v>247</v>
      </c>
      <c r="H84" s="1" t="e">
        <f t="shared" si="1"/>
        <v>#VALUE!</v>
      </c>
      <c r="I84" t="s">
        <v>5</v>
      </c>
      <c r="J84" t="s">
        <v>248</v>
      </c>
    </row>
    <row r="85" spans="1:10" x14ac:dyDescent="0.2">
      <c r="A85" t="s">
        <v>244</v>
      </c>
      <c r="B85" t="s">
        <v>249</v>
      </c>
      <c r="C85" t="s">
        <v>21</v>
      </c>
      <c r="D85" t="s">
        <v>70</v>
      </c>
      <c r="E85" t="s">
        <v>23</v>
      </c>
      <c r="F85" s="1">
        <v>0</v>
      </c>
      <c r="G85" s="1">
        <v>0</v>
      </c>
      <c r="H85" s="1">
        <f t="shared" si="1"/>
        <v>0</v>
      </c>
      <c r="I85" t="s">
        <v>5</v>
      </c>
      <c r="J85" t="s">
        <v>250</v>
      </c>
    </row>
    <row r="86" spans="1:10" x14ac:dyDescent="0.2">
      <c r="A86" t="s">
        <v>244</v>
      </c>
      <c r="B86" t="s">
        <v>251</v>
      </c>
      <c r="C86" t="s">
        <v>21</v>
      </c>
      <c r="D86" t="s">
        <v>70</v>
      </c>
      <c r="E86" t="s">
        <v>23</v>
      </c>
      <c r="F86" s="1">
        <v>0</v>
      </c>
      <c r="G86" s="1">
        <v>0</v>
      </c>
      <c r="H86" s="1">
        <f t="shared" si="1"/>
        <v>0</v>
      </c>
      <c r="I86" t="s">
        <v>3</v>
      </c>
      <c r="J86" t="s">
        <v>252</v>
      </c>
    </row>
    <row r="87" spans="1:10" x14ac:dyDescent="0.2">
      <c r="A87" t="s">
        <v>244</v>
      </c>
      <c r="B87" t="s">
        <v>253</v>
      </c>
      <c r="C87" t="s">
        <v>21</v>
      </c>
      <c r="D87" t="s">
        <v>70</v>
      </c>
      <c r="E87" t="s">
        <v>23</v>
      </c>
      <c r="F87" s="1" t="s">
        <v>254</v>
      </c>
      <c r="G87" s="1" t="s">
        <v>255</v>
      </c>
      <c r="H87" s="1" t="e">
        <f t="shared" si="1"/>
        <v>#VALUE!</v>
      </c>
      <c r="I87" t="s">
        <v>3</v>
      </c>
      <c r="J87" t="s">
        <v>256</v>
      </c>
    </row>
    <row r="88" spans="1:10" x14ac:dyDescent="0.2">
      <c r="A88" t="s">
        <v>244</v>
      </c>
      <c r="B88" t="s">
        <v>257</v>
      </c>
      <c r="C88" t="s">
        <v>21</v>
      </c>
      <c r="D88" t="s">
        <v>70</v>
      </c>
      <c r="E88" t="s">
        <v>23</v>
      </c>
      <c r="F88" s="1" t="s">
        <v>67</v>
      </c>
      <c r="G88" s="1" t="s">
        <v>68</v>
      </c>
      <c r="H88" s="1" t="e">
        <f t="shared" si="1"/>
        <v>#VALUE!</v>
      </c>
      <c r="I88" t="s">
        <v>7</v>
      </c>
      <c r="J88" t="s">
        <v>258</v>
      </c>
    </row>
    <row r="89" spans="1:10" x14ac:dyDescent="0.2">
      <c r="A89" t="s">
        <v>244</v>
      </c>
      <c r="B89" t="s">
        <v>259</v>
      </c>
      <c r="C89" t="s">
        <v>21</v>
      </c>
      <c r="D89" t="s">
        <v>70</v>
      </c>
      <c r="E89" t="s">
        <v>23</v>
      </c>
      <c r="F89" s="1">
        <v>0</v>
      </c>
      <c r="G89" s="1">
        <v>0</v>
      </c>
      <c r="H89" s="1">
        <f t="shared" si="1"/>
        <v>0</v>
      </c>
      <c r="I89" t="s">
        <v>5</v>
      </c>
      <c r="J89" t="s">
        <v>336</v>
      </c>
    </row>
    <row r="90" spans="1:10" x14ac:dyDescent="0.2">
      <c r="A90" t="s">
        <v>244</v>
      </c>
      <c r="B90" t="s">
        <v>260</v>
      </c>
      <c r="C90" t="s">
        <v>21</v>
      </c>
      <c r="D90" t="s">
        <v>70</v>
      </c>
      <c r="E90" t="s">
        <v>23</v>
      </c>
      <c r="F90" s="1">
        <v>0</v>
      </c>
      <c r="G90" s="1">
        <v>0</v>
      </c>
      <c r="H90" s="1">
        <f t="shared" si="1"/>
        <v>0</v>
      </c>
      <c r="I90" t="s">
        <v>5</v>
      </c>
      <c r="J90" t="s">
        <v>261</v>
      </c>
    </row>
    <row r="91" spans="1:10" x14ac:dyDescent="0.2">
      <c r="A91" t="s">
        <v>262</v>
      </c>
      <c r="B91" t="s">
        <v>263</v>
      </c>
      <c r="C91" t="s">
        <v>21</v>
      </c>
      <c r="D91" t="s">
        <v>22</v>
      </c>
      <c r="E91" t="s">
        <v>23</v>
      </c>
      <c r="F91" s="1" t="s">
        <v>264</v>
      </c>
      <c r="G91" s="1" t="s">
        <v>265</v>
      </c>
      <c r="H91" s="1" t="e">
        <f t="shared" si="1"/>
        <v>#VALUE!</v>
      </c>
      <c r="I91" t="s">
        <v>5</v>
      </c>
      <c r="J91" t="s">
        <v>266</v>
      </c>
    </row>
    <row r="92" spans="1:10" x14ac:dyDescent="0.2">
      <c r="A92" t="s">
        <v>262</v>
      </c>
      <c r="B92" t="s">
        <v>267</v>
      </c>
      <c r="C92" t="s">
        <v>21</v>
      </c>
      <c r="D92" t="s">
        <v>22</v>
      </c>
      <c r="E92" t="s">
        <v>23</v>
      </c>
      <c r="F92" s="1" t="s">
        <v>268</v>
      </c>
      <c r="G92" s="1" t="s">
        <v>269</v>
      </c>
      <c r="H92" s="1" t="e">
        <f t="shared" si="1"/>
        <v>#VALUE!</v>
      </c>
      <c r="I92" t="s">
        <v>7</v>
      </c>
      <c r="J92" t="s">
        <v>270</v>
      </c>
    </row>
    <row r="93" spans="1:10" x14ac:dyDescent="0.2">
      <c r="A93" t="s">
        <v>262</v>
      </c>
      <c r="B93" t="s">
        <v>271</v>
      </c>
      <c r="C93" t="s">
        <v>21</v>
      </c>
      <c r="D93" t="s">
        <v>22</v>
      </c>
      <c r="E93" t="s">
        <v>23</v>
      </c>
      <c r="F93" s="1" t="s">
        <v>272</v>
      </c>
      <c r="G93" s="1" t="s">
        <v>273</v>
      </c>
      <c r="H93" s="1" t="e">
        <f t="shared" si="1"/>
        <v>#VALUE!</v>
      </c>
      <c r="I93" t="s">
        <v>3</v>
      </c>
      <c r="J93" t="s">
        <v>274</v>
      </c>
    </row>
    <row r="94" spans="1:10" x14ac:dyDescent="0.2">
      <c r="A94" t="s">
        <v>262</v>
      </c>
      <c r="B94" t="s">
        <v>275</v>
      </c>
      <c r="C94" t="s">
        <v>21</v>
      </c>
      <c r="D94" t="s">
        <v>70</v>
      </c>
      <c r="E94" t="s">
        <v>23</v>
      </c>
      <c r="F94" s="1">
        <v>0</v>
      </c>
      <c r="G94" s="1" t="s">
        <v>276</v>
      </c>
      <c r="H94" s="1" t="str">
        <f t="shared" si="1"/>
        <v xml:space="preserve"> $400-1000 </v>
      </c>
      <c r="I94" t="s">
        <v>1</v>
      </c>
      <c r="J94" t="s">
        <v>277</v>
      </c>
    </row>
    <row r="95" spans="1:10" x14ac:dyDescent="0.2">
      <c r="A95" t="s">
        <v>262</v>
      </c>
      <c r="B95" t="s">
        <v>278</v>
      </c>
      <c r="C95" t="s">
        <v>38</v>
      </c>
      <c r="D95" t="s">
        <v>22</v>
      </c>
      <c r="E95" t="s">
        <v>23</v>
      </c>
      <c r="F95" s="1" t="s">
        <v>279</v>
      </c>
      <c r="G95" s="1" t="s">
        <v>280</v>
      </c>
      <c r="H95" s="1" t="e">
        <f t="shared" si="1"/>
        <v>#VALUE!</v>
      </c>
      <c r="I95" t="s">
        <v>3</v>
      </c>
      <c r="J95" t="s">
        <v>281</v>
      </c>
    </row>
    <row r="96" spans="1:10" x14ac:dyDescent="0.2">
      <c r="A96" t="s">
        <v>262</v>
      </c>
      <c r="B96" t="s">
        <v>282</v>
      </c>
      <c r="C96" t="s">
        <v>21</v>
      </c>
      <c r="D96" t="s">
        <v>70</v>
      </c>
      <c r="E96" t="s">
        <v>23</v>
      </c>
      <c r="F96" s="1">
        <v>0</v>
      </c>
      <c r="G96" s="1" t="s">
        <v>283</v>
      </c>
      <c r="H96" s="1" t="str">
        <f t="shared" si="1"/>
        <v xml:space="preserve"> $500-1000 </v>
      </c>
      <c r="I96" t="s">
        <v>5</v>
      </c>
      <c r="J96" t="s">
        <v>284</v>
      </c>
    </row>
    <row r="97" spans="1:10" x14ac:dyDescent="0.2">
      <c r="A97" t="s">
        <v>262</v>
      </c>
      <c r="B97" t="s">
        <v>285</v>
      </c>
      <c r="C97" t="s">
        <v>21</v>
      </c>
      <c r="D97" t="s">
        <v>70</v>
      </c>
      <c r="E97" t="s">
        <v>23</v>
      </c>
      <c r="F97" s="1">
        <v>0</v>
      </c>
      <c r="G97" s="1" t="s">
        <v>283</v>
      </c>
      <c r="H97" s="1" t="str">
        <f t="shared" si="1"/>
        <v xml:space="preserve"> $500-1000 </v>
      </c>
      <c r="I97" t="s">
        <v>3</v>
      </c>
      <c r="J97" t="s">
        <v>286</v>
      </c>
    </row>
    <row r="98" spans="1:10" x14ac:dyDescent="0.2">
      <c r="A98" t="s">
        <v>287</v>
      </c>
      <c r="B98" t="s">
        <v>288</v>
      </c>
      <c r="C98" t="s">
        <v>21</v>
      </c>
      <c r="D98" t="s">
        <v>70</v>
      </c>
      <c r="E98" t="s">
        <v>23</v>
      </c>
      <c r="F98" s="1">
        <v>0</v>
      </c>
      <c r="G98" s="1" t="s">
        <v>289</v>
      </c>
      <c r="H98" s="1" t="str">
        <f t="shared" si="1"/>
        <v xml:space="preserve"> $1500-2000 </v>
      </c>
      <c r="I98" t="s">
        <v>3</v>
      </c>
      <c r="J98" t="s">
        <v>290</v>
      </c>
    </row>
    <row r="99" spans="1:10" x14ac:dyDescent="0.2">
      <c r="A99" t="s">
        <v>287</v>
      </c>
      <c r="B99" t="s">
        <v>291</v>
      </c>
      <c r="C99" t="s">
        <v>21</v>
      </c>
      <c r="D99" t="s">
        <v>22</v>
      </c>
      <c r="E99" t="s">
        <v>23</v>
      </c>
      <c r="F99" s="1">
        <v>0</v>
      </c>
      <c r="G99" s="1">
        <v>0</v>
      </c>
      <c r="H99" s="1">
        <f t="shared" si="1"/>
        <v>0</v>
      </c>
      <c r="I99" t="s">
        <v>1</v>
      </c>
      <c r="J99" t="s">
        <v>292</v>
      </c>
    </row>
    <row r="100" spans="1:10" x14ac:dyDescent="0.2">
      <c r="A100" t="s">
        <v>287</v>
      </c>
      <c r="B100" t="s">
        <v>293</v>
      </c>
      <c r="C100" t="s">
        <v>21</v>
      </c>
      <c r="D100" t="s">
        <v>22</v>
      </c>
      <c r="E100" t="s">
        <v>23</v>
      </c>
      <c r="F100" s="1">
        <v>0</v>
      </c>
      <c r="G100" s="1">
        <v>0</v>
      </c>
      <c r="H100" s="1">
        <f t="shared" si="1"/>
        <v>0</v>
      </c>
      <c r="I100" t="s">
        <v>1</v>
      </c>
      <c r="J100" t="s">
        <v>294</v>
      </c>
    </row>
    <row r="101" spans="1:10" x14ac:dyDescent="0.2">
      <c r="A101" t="s">
        <v>287</v>
      </c>
      <c r="B101" t="s">
        <v>295</v>
      </c>
      <c r="C101" t="s">
        <v>21</v>
      </c>
      <c r="D101" t="s">
        <v>22</v>
      </c>
      <c r="E101" t="s">
        <v>23</v>
      </c>
      <c r="F101" s="1">
        <v>0</v>
      </c>
      <c r="G101" s="1">
        <v>0</v>
      </c>
      <c r="H101" s="1">
        <f t="shared" si="1"/>
        <v>0</v>
      </c>
      <c r="I101" t="s">
        <v>1</v>
      </c>
      <c r="J101" t="s">
        <v>296</v>
      </c>
    </row>
    <row r="102" spans="1:10" x14ac:dyDescent="0.2">
      <c r="A102" t="s">
        <v>287</v>
      </c>
      <c r="B102" t="s">
        <v>297</v>
      </c>
      <c r="C102" t="s">
        <v>21</v>
      </c>
      <c r="D102" t="s">
        <v>22</v>
      </c>
      <c r="E102" t="s">
        <v>23</v>
      </c>
      <c r="F102" s="1">
        <v>0</v>
      </c>
      <c r="G102" s="1">
        <v>0</v>
      </c>
      <c r="H102" s="1">
        <f t="shared" si="1"/>
        <v>0</v>
      </c>
      <c r="I102" t="s">
        <v>5</v>
      </c>
      <c r="J102" t="s">
        <v>298</v>
      </c>
    </row>
    <row r="103" spans="1:10" x14ac:dyDescent="0.2">
      <c r="A103" t="s">
        <v>287</v>
      </c>
      <c r="B103" t="s">
        <v>299</v>
      </c>
      <c r="C103" t="s">
        <v>21</v>
      </c>
      <c r="D103" t="s">
        <v>22</v>
      </c>
      <c r="E103" t="s">
        <v>145</v>
      </c>
      <c r="F103" s="1">
        <v>99</v>
      </c>
      <c r="G103" s="1">
        <v>1188</v>
      </c>
      <c r="H103" s="1">
        <f t="shared" si="1"/>
        <v>1188</v>
      </c>
      <c r="I103" t="s">
        <v>5</v>
      </c>
      <c r="J103" t="s">
        <v>300</v>
      </c>
    </row>
    <row r="104" spans="1:10" x14ac:dyDescent="0.2">
      <c r="A104" t="s">
        <v>301</v>
      </c>
      <c r="B104" t="s">
        <v>302</v>
      </c>
      <c r="C104" t="s">
        <v>21</v>
      </c>
      <c r="D104" t="s">
        <v>22</v>
      </c>
      <c r="E104" t="s">
        <v>23</v>
      </c>
      <c r="F104" s="1">
        <v>0</v>
      </c>
      <c r="G104" s="1">
        <v>0</v>
      </c>
      <c r="H104" s="1">
        <f t="shared" si="1"/>
        <v>0</v>
      </c>
      <c r="I104" t="s">
        <v>1</v>
      </c>
      <c r="J104" t="s">
        <v>303</v>
      </c>
    </row>
    <row r="105" spans="1:10" x14ac:dyDescent="0.2">
      <c r="A105" t="s">
        <v>301</v>
      </c>
      <c r="B105" t="s">
        <v>304</v>
      </c>
      <c r="C105" t="s">
        <v>38</v>
      </c>
      <c r="D105" t="s">
        <v>22</v>
      </c>
      <c r="E105" t="s">
        <v>305</v>
      </c>
      <c r="F105" s="1">
        <v>0</v>
      </c>
      <c r="G105" s="1">
        <v>0</v>
      </c>
      <c r="H105" s="1">
        <f t="shared" si="1"/>
        <v>0</v>
      </c>
      <c r="I105" t="s">
        <v>7</v>
      </c>
      <c r="J105" t="s">
        <v>306</v>
      </c>
    </row>
    <row r="106" spans="1:10" x14ac:dyDescent="0.2">
      <c r="A106" t="s">
        <v>301</v>
      </c>
      <c r="B106" t="s">
        <v>307</v>
      </c>
      <c r="C106" t="s">
        <v>38</v>
      </c>
      <c r="D106" t="s">
        <v>22</v>
      </c>
      <c r="E106" t="s">
        <v>23</v>
      </c>
      <c r="F106" s="1">
        <v>0</v>
      </c>
      <c r="G106" s="1">
        <v>0</v>
      </c>
      <c r="H106" s="1">
        <f t="shared" si="1"/>
        <v>0</v>
      </c>
      <c r="I106" t="s">
        <v>7</v>
      </c>
      <c r="J106" t="s">
        <v>308</v>
      </c>
    </row>
    <row r="107" spans="1:10" x14ac:dyDescent="0.2">
      <c r="A107" t="s">
        <v>301</v>
      </c>
      <c r="B107" t="s">
        <v>309</v>
      </c>
      <c r="C107" t="s">
        <v>38</v>
      </c>
      <c r="D107" t="s">
        <v>22</v>
      </c>
      <c r="E107" t="s">
        <v>310</v>
      </c>
      <c r="F107" s="1">
        <v>0</v>
      </c>
      <c r="G107" s="1">
        <v>0</v>
      </c>
      <c r="H107" s="1">
        <f t="shared" si="1"/>
        <v>0</v>
      </c>
      <c r="I107" t="s">
        <v>7</v>
      </c>
      <c r="J107" t="s">
        <v>311</v>
      </c>
    </row>
    <row r="108" spans="1:10" x14ac:dyDescent="0.2">
      <c r="A108" t="s">
        <v>312</v>
      </c>
      <c r="B108" t="s">
        <v>313</v>
      </c>
      <c r="C108" t="s">
        <v>21</v>
      </c>
      <c r="D108" t="s">
        <v>22</v>
      </c>
      <c r="E108" t="s">
        <v>23</v>
      </c>
      <c r="F108" s="1" t="s">
        <v>314</v>
      </c>
      <c r="G108" s="1" t="s">
        <v>176</v>
      </c>
      <c r="H108" s="1" t="e">
        <f t="shared" si="1"/>
        <v>#VALUE!</v>
      </c>
      <c r="I108" t="s">
        <v>5</v>
      </c>
      <c r="J108" t="s">
        <v>315</v>
      </c>
    </row>
    <row r="109" spans="1:10" x14ac:dyDescent="0.2">
      <c r="A109" t="s">
        <v>312</v>
      </c>
      <c r="B109" t="s">
        <v>316</v>
      </c>
      <c r="C109" t="s">
        <v>21</v>
      </c>
      <c r="D109" t="s">
        <v>22</v>
      </c>
      <c r="E109" t="s">
        <v>23</v>
      </c>
      <c r="F109" s="1">
        <v>0</v>
      </c>
      <c r="G109" s="1" t="s">
        <v>317</v>
      </c>
      <c r="H109" s="1" t="str">
        <f t="shared" si="1"/>
        <v xml:space="preserve"> $0-1599 </v>
      </c>
      <c r="I109" t="s">
        <v>7</v>
      </c>
      <c r="J109" t="s">
        <v>318</v>
      </c>
    </row>
    <row r="110" spans="1:10" x14ac:dyDescent="0.2">
      <c r="A110" t="s">
        <v>312</v>
      </c>
      <c r="B110" t="s">
        <v>319</v>
      </c>
      <c r="C110" t="s">
        <v>21</v>
      </c>
      <c r="D110" t="s">
        <v>22</v>
      </c>
      <c r="E110" t="s">
        <v>23</v>
      </c>
      <c r="F110" s="1">
        <v>0</v>
      </c>
      <c r="G110" s="1" t="s">
        <v>102</v>
      </c>
      <c r="H110" s="1" t="str">
        <f t="shared" si="1"/>
        <v xml:space="preserve"> $2000-5000 </v>
      </c>
      <c r="I110" t="s">
        <v>7</v>
      </c>
      <c r="J110" t="s">
        <v>320</v>
      </c>
    </row>
    <row r="111" spans="1:10" x14ac:dyDescent="0.2">
      <c r="A111" t="s">
        <v>312</v>
      </c>
      <c r="B111" t="s">
        <v>321</v>
      </c>
      <c r="C111" t="s">
        <v>21</v>
      </c>
      <c r="D111" t="s">
        <v>22</v>
      </c>
      <c r="E111" t="s">
        <v>23</v>
      </c>
      <c r="F111" s="1" t="s">
        <v>322</v>
      </c>
      <c r="G111" s="1" t="s">
        <v>205</v>
      </c>
      <c r="H111" s="1" t="e">
        <f t="shared" si="1"/>
        <v>#VALUE!</v>
      </c>
      <c r="I111" t="s">
        <v>5</v>
      </c>
      <c r="J111" t="s">
        <v>323</v>
      </c>
    </row>
    <row r="112" spans="1:10" x14ac:dyDescent="0.2">
      <c r="A112" t="s">
        <v>324</v>
      </c>
      <c r="B112" t="s">
        <v>325</v>
      </c>
      <c r="C112" t="s">
        <v>38</v>
      </c>
      <c r="D112" t="s">
        <v>22</v>
      </c>
      <c r="E112" t="s">
        <v>23</v>
      </c>
      <c r="F112" s="1" t="s">
        <v>127</v>
      </c>
      <c r="G112" s="1" t="s">
        <v>128</v>
      </c>
      <c r="H112" s="1" t="e">
        <f t="shared" si="1"/>
        <v>#VALUE!</v>
      </c>
      <c r="I112" t="s">
        <v>7</v>
      </c>
      <c r="J112" t="s">
        <v>326</v>
      </c>
    </row>
    <row r="113" spans="1:10" x14ac:dyDescent="0.2">
      <c r="A113" t="s">
        <v>324</v>
      </c>
      <c r="B113" t="s">
        <v>327</v>
      </c>
      <c r="C113" t="s">
        <v>21</v>
      </c>
      <c r="D113" t="s">
        <v>22</v>
      </c>
      <c r="E113" t="s">
        <v>23</v>
      </c>
      <c r="F113" s="1" t="s">
        <v>328</v>
      </c>
      <c r="G113" s="1" t="s">
        <v>329</v>
      </c>
      <c r="H113" s="1" t="e">
        <f t="shared" si="1"/>
        <v>#VALUE!</v>
      </c>
      <c r="I113" t="s">
        <v>7</v>
      </c>
      <c r="J113" t="s">
        <v>330</v>
      </c>
    </row>
    <row r="114" spans="1:10" x14ac:dyDescent="0.2">
      <c r="A114" t="s">
        <v>324</v>
      </c>
      <c r="B114" t="s">
        <v>331</v>
      </c>
      <c r="C114" t="s">
        <v>38</v>
      </c>
      <c r="D114" t="s">
        <v>22</v>
      </c>
      <c r="E114" t="s">
        <v>23</v>
      </c>
      <c r="F114" s="1" t="s">
        <v>127</v>
      </c>
      <c r="G114" s="1" t="s">
        <v>128</v>
      </c>
      <c r="H114" s="1" t="e">
        <f t="shared" si="1"/>
        <v>#VALUE!</v>
      </c>
      <c r="I114" t="s">
        <v>7</v>
      </c>
      <c r="J114" t="s">
        <v>332</v>
      </c>
    </row>
    <row r="115" spans="1:10" x14ac:dyDescent="0.2">
      <c r="A115" t="s">
        <v>324</v>
      </c>
      <c r="B115" t="s">
        <v>333</v>
      </c>
      <c r="C115" t="s">
        <v>38</v>
      </c>
      <c r="D115" t="s">
        <v>22</v>
      </c>
      <c r="E115" t="s">
        <v>23</v>
      </c>
      <c r="F115" s="1" t="s">
        <v>334</v>
      </c>
      <c r="G115" s="1" t="s">
        <v>137</v>
      </c>
      <c r="H115" s="1" t="e">
        <f t="shared" si="1"/>
        <v>#VALUE!</v>
      </c>
      <c r="I115" t="s">
        <v>7</v>
      </c>
      <c r="J115" t="s">
        <v>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Comprehensive_Cost_List_Final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Pengilly</dc:creator>
  <cp:lastModifiedBy>Max Pengilly</cp:lastModifiedBy>
  <dcterms:created xsi:type="dcterms:W3CDTF">2025-11-19T17:44:47Z</dcterms:created>
  <dcterms:modified xsi:type="dcterms:W3CDTF">2025-11-19T21:32:23Z</dcterms:modified>
</cp:coreProperties>
</file>