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evelopment/active/being/development/docs/business/"/>
    </mc:Choice>
  </mc:AlternateContent>
  <xr:revisionPtr revIDLastSave="0" documentId="13_ncr:9_{24FCAD09-88B7-224D-A735-E997F700B58B}" xr6:coauthVersionLast="47" xr6:coauthVersionMax="47" xr10:uidLastSave="{00000000-0000-0000-0000-000000000000}"/>
  <bookViews>
    <workbookView xWindow="5580" yWindow="4020" windowWidth="27640" windowHeight="16680" xr2:uid="{404C9B34-48BE-384A-80B2-108BFA1D38AF}"/>
  </bookViews>
  <sheets>
    <sheet name="Sheet2" sheetId="3" r:id="rId1"/>
    <sheet name="Budget_Cost_List_v4" sheetId="1" r:id="rId2"/>
    <sheet name="Sheet1" sheetId="2" r:id="rId3"/>
  </sheets>
  <definedNames>
    <definedName name="_xlnm._FilterDatabase" localSheetId="1" hidden="1">Budget_Cost_List_v4!$A$1:$K$50</definedName>
  </definedNames>
  <calcPr calcId="0"/>
  <pivotCaches>
    <pivotCache cacheId="9" r:id="rId4"/>
  </pivotCaches>
</workbook>
</file>

<file path=xl/sharedStrings.xml><?xml version="1.0" encoding="utf-8"?>
<sst xmlns="http://schemas.openxmlformats.org/spreadsheetml/2006/main" count="536" uniqueCount="209">
  <si>
    <t>Cost Category</t>
  </si>
  <si>
    <t>Cost Description</t>
  </si>
  <si>
    <t>Vendor</t>
  </si>
  <si>
    <t>Cost Type</t>
  </si>
  <si>
    <t>Frequency</t>
  </si>
  <si>
    <t>User Tier</t>
  </si>
  <si>
    <t>Monthly Cost</t>
  </si>
  <si>
    <t>Annual Cost</t>
  </si>
  <si>
    <t>Calculated Annual Cost</t>
  </si>
  <si>
    <t>Trigger</t>
  </si>
  <si>
    <t>Notes</t>
  </si>
  <si>
    <t>Platform &amp; Distribution</t>
  </si>
  <si>
    <t>Apple Developer Program</t>
  </si>
  <si>
    <t>Apple</t>
  </si>
  <si>
    <t>Fixed</t>
  </si>
  <si>
    <t>Ongoing</t>
  </si>
  <si>
    <t>All</t>
  </si>
  <si>
    <t xml:space="preserve"> $-   </t>
  </si>
  <si>
    <t>Launch</t>
  </si>
  <si>
    <t>Annual $99 fee. Required for App Store distribution, Sign in with Apple, TestFlight.</t>
  </si>
  <si>
    <t>Google Play Console</t>
  </si>
  <si>
    <t>Google</t>
  </si>
  <si>
    <t>One-time</t>
  </si>
  <si>
    <t>One-time $25 fee. Required for Play Store distribution.</t>
  </si>
  <si>
    <t>Payment Processing (Apple IAP)</t>
  </si>
  <si>
    <t>Variable</t>
  </si>
  <si>
    <t>15-30% of revenue</t>
  </si>
  <si>
    <t>% of revenue</t>
  </si>
  <si>
    <t>Revenue</t>
  </si>
  <si>
    <t>15% (Y2+ subscribers), 30% (monthly). Taken from revenue.</t>
  </si>
  <si>
    <t>Payment Processing (Google Play)</t>
  </si>
  <si>
    <t>15% (first $1M), 30% (after). Taken from revenue.</t>
  </si>
  <si>
    <t>Payment Processing (Stripe)</t>
  </si>
  <si>
    <t>Stripe</t>
  </si>
  <si>
    <t>2.9% + $0.30</t>
  </si>
  <si>
    <t>Web launch</t>
  </si>
  <si>
    <t>For web subscriptions. Cloudflare handles hosting (free).</t>
  </si>
  <si>
    <t>Software Subscriptions</t>
  </si>
  <si>
    <t>AI Coding Assistant (Claude Max)</t>
  </si>
  <si>
    <t>Anthropic</t>
  </si>
  <si>
    <t>PRIMARY development tool. Claude Max subscription.</t>
  </si>
  <si>
    <t>Microsoft 365</t>
  </si>
  <si>
    <t>Microsoft</t>
  </si>
  <si>
    <t>Business email and productivity. Enter your actual cost.</t>
  </si>
  <si>
    <t>Notion</t>
  </si>
  <si>
    <t>Project management. Free or Plus tier. Enter your actual cost.</t>
  </si>
  <si>
    <t>Proton Pass</t>
  </si>
  <si>
    <t>Proton</t>
  </si>
  <si>
    <t>Password manager. Free or paid tier. Enter your actual cost.</t>
  </si>
  <si>
    <t>Proton VPN</t>
  </si>
  <si>
    <t>VPN service. Free or paid tier. Enter your actual cost.</t>
  </si>
  <si>
    <t>Figma</t>
  </si>
  <si>
    <t>Design tool. Free for personal use. Enter your actual cost.</t>
  </si>
  <si>
    <t>Bookkeeping Software</t>
  </si>
  <si>
    <t>TBD</t>
  </si>
  <si>
    <t>QuickBooks, Xero, or Wave. Enter your choice and cost.</t>
  </si>
  <si>
    <t>Infrastructure</t>
  </si>
  <si>
    <t>Expo EAS Build (Production)</t>
  </si>
  <si>
    <t>Expo</t>
  </si>
  <si>
    <t>Production deployment, unlimited builds, EAS Update, Device Cloud.</t>
  </si>
  <si>
    <t>Supabase Database &amp; Storage</t>
  </si>
  <si>
    <t>Supabase</t>
  </si>
  <si>
    <t xml:space="preserve">$0-25 </t>
  </si>
  <si>
    <t>10K users</t>
  </si>
  <si>
    <t>Free tier: 500MB DB, 2GB bandwidth/mo, supports 10K users/300 DAU. Pro ($25/mo, $300/yr) at 10K-100K users.</t>
  </si>
  <si>
    <t>GitHub Actions (CI/CD)</t>
  </si>
  <si>
    <t>GitHub</t>
  </si>
  <si>
    <t xml:space="preserve">$0-12 </t>
  </si>
  <si>
    <t>5K users</t>
  </si>
  <si>
    <t>Free tier: 2,000 min/mo, sufficient for 0-5K users. Paid ($12/mo) when exceeding.</t>
  </si>
  <si>
    <t>Email Services</t>
  </si>
  <si>
    <t>Resend</t>
  </si>
  <si>
    <t xml:space="preserve">$0-20 </t>
  </si>
  <si>
    <t>1K users</t>
  </si>
  <si>
    <t>Free: 3,000 emails/mo. Pro $20/mo (50K emails) at scale. Auth + transactional + onboarding.</t>
  </si>
  <si>
    <t>Domain Name</t>
  </si>
  <si>
    <t>Cloudflare</t>
  </si>
  <si>
    <t xml:space="preserve">$10-15 </t>
  </si>
  <si>
    <t>Domain registration via Cloudflare. Annual renewal.</t>
  </si>
  <si>
    <t>Error Monitoring</t>
  </si>
  <si>
    <t>Sentry</t>
  </si>
  <si>
    <t xml:space="preserve">$0-29 </t>
  </si>
  <si>
    <t>Free: 5K events/mo (0-1K users). Team ($29/mo, $348/yr) at 1K-10K users.</t>
  </si>
  <si>
    <t>Legal &amp; Compliance</t>
  </si>
  <si>
    <t>Pre-Launch Legal Package</t>
  </si>
  <si>
    <t>Attorney (TBD)</t>
  </si>
  <si>
    <t xml:space="preserve">$0-500 </t>
  </si>
  <si>
    <t>Launch (optional)</t>
  </si>
  <si>
    <t>AI drafts docs, optional 1-hr lawyer review ($300-500). Most indie apps launch with $0.</t>
  </si>
  <si>
    <t>Security Audits (Pre-Launch)</t>
  </si>
  <si>
    <t>DIY + Optional</t>
  </si>
  <si>
    <t>Free tools (Snyk, Dependabot, CodeQL) + AI review. Optional spot-check ($300-500).</t>
  </si>
  <si>
    <t>Security Audits (Annual)</t>
  </si>
  <si>
    <t>Security Firm (TBD)</t>
  </si>
  <si>
    <t xml:space="preserve">$1500-3000 </t>
  </si>
  <si>
    <t>Year 1+</t>
  </si>
  <si>
    <t>AI pre-scan + human expert review. Every 18-24 months.</t>
  </si>
  <si>
    <t>Legal Counsel (Ongoing)</t>
  </si>
  <si>
    <t xml:space="preserve">$2000-2500 </t>
  </si>
  <si>
    <t>Quarterly reviews, regulatory monitoring. ~5-8 hrs/year at $300-500/hr.</t>
  </si>
  <si>
    <t>Data Breach Response (Initial)</t>
  </si>
  <si>
    <t>Security Consultant</t>
  </si>
  <si>
    <t xml:space="preserve">$300-700 </t>
  </si>
  <si>
    <t>Pre-scale</t>
  </si>
  <si>
    <t>AI drafts IR plan, expert review 1-2 hrs.</t>
  </si>
  <si>
    <t>Data Breach Response (Ongoing)</t>
  </si>
  <si>
    <t xml:space="preserve">$200-500 </t>
  </si>
  <si>
    <t>Year 2+</t>
  </si>
  <si>
    <t>Annual IR plan testing and updates.</t>
  </si>
  <si>
    <t>Compliance Monitoring Tools</t>
  </si>
  <si>
    <t>OSS + Optional</t>
  </si>
  <si>
    <t xml:space="preserve">$0-1000 </t>
  </si>
  <si>
    <t>k-anonymity, differential privacy. OSS libraries.</t>
  </si>
  <si>
    <t>SOC 2 Certification</t>
  </si>
  <si>
    <t>Auditor (TBD)</t>
  </si>
  <si>
    <t xml:space="preserve">$15000-50000 </t>
  </si>
  <si>
    <t>B2B pivot</t>
  </si>
  <si>
    <t>NOT needed for consumer app. Only for B2B/enterprise.</t>
  </si>
  <si>
    <t>Insurance</t>
  </si>
  <si>
    <t>Business Insurance (Bundled)</t>
  </si>
  <si>
    <t>Insurance Broker (TBD)</t>
  </si>
  <si>
    <t xml:space="preserve">$3500-4000 </t>
  </si>
  <si>
    <t>Year 1</t>
  </si>
  <si>
    <t>Cyber ($1M breach) + General Liability + D&amp;O. Bundled saves 10-15%.</t>
  </si>
  <si>
    <t>Employment Practices Liability</t>
  </si>
  <si>
    <t>Hiring</t>
  </si>
  <si>
    <t>Only when hiring employees.</t>
  </si>
  <si>
    <t>Business Operations</t>
  </si>
  <si>
    <t>Corporate Filings &amp; Compliance</t>
  </si>
  <si>
    <t>State + Agent</t>
  </si>
  <si>
    <t>LLC annual reports, business licenses, registered agent fees.</t>
  </si>
  <si>
    <t>Accounting &amp; Bookkeeping</t>
  </si>
  <si>
    <t>CPA (TBD)</t>
  </si>
  <si>
    <t xml:space="preserve">$1000-2500 </t>
  </si>
  <si>
    <t>Tax prep, financial reporting, bookkeeping. Base ~$1,000/yr solo. Scales to $2,000-2,500 with payroll/multi-state.</t>
  </si>
  <si>
    <t>Contingency Buffer</t>
  </si>
  <si>
    <t>N/A</t>
  </si>
  <si>
    <t>10% of total</t>
  </si>
  <si>
    <t>10% of subtotal</t>
  </si>
  <si>
    <t>Buffer for unexpected costs.</t>
  </si>
  <si>
    <t>Miscellaneous Expenses</t>
  </si>
  <si>
    <t>Various</t>
  </si>
  <si>
    <t xml:space="preserve">$100-200 </t>
  </si>
  <si>
    <t>Supplies, licenses, unexpected costs.</t>
  </si>
  <si>
    <t>Design &amp; UX</t>
  </si>
  <si>
    <t>App Store Assets (Initial)</t>
  </si>
  <si>
    <t>DIY or Freelancer</t>
  </si>
  <si>
    <t>AI tools (Midjourney, Canva) or freelancer.</t>
  </si>
  <si>
    <t>App Store Assets (Updates)</t>
  </si>
  <si>
    <t xml:space="preserve">$200-400 </t>
  </si>
  <si>
    <t>Updates per major release (2-4/year). $50-150/update with AI tools.</t>
  </si>
  <si>
    <t>Brand Identity (Initial)</t>
  </si>
  <si>
    <t>DIY with AI tools ($0) or freelancer ($500-1000) for logo, colors, guidelines.</t>
  </si>
  <si>
    <t>App Preview Video</t>
  </si>
  <si>
    <t>Post-launch</t>
  </si>
  <si>
    <t>DIY with AI tools ($0-100) or professional ($500-1000). High ROI for conversions.</t>
  </si>
  <si>
    <t>Icon &amp; Asset Libraries</t>
  </si>
  <si>
    <t>Noun Project</t>
  </si>
  <si>
    <t>Optional</t>
  </si>
  <si>
    <t>Optional polish. Free alternatives sufficient.</t>
  </si>
  <si>
    <t>Growth &amp; Development</t>
  </si>
  <si>
    <t>Events &amp; Webinars</t>
  </si>
  <si>
    <t xml:space="preserve">$0-250 </t>
  </si>
  <si>
    <t>Post-revenue</t>
  </si>
  <si>
    <t>YouTube Live, Zoom free pre-revenue.</t>
  </si>
  <si>
    <t>Industry Memberships</t>
  </si>
  <si>
    <t>Mental Health America, philosophy associations.</t>
  </si>
  <si>
    <t>Stoic Philosophy Resources</t>
  </si>
  <si>
    <t>Books, journals, courses.</t>
  </si>
  <si>
    <t>Conferences</t>
  </si>
  <si>
    <t>Stoic Week, mental health conferences.</t>
  </si>
  <si>
    <t>Clinical Validation</t>
  </si>
  <si>
    <t>Premeditatio Safety Validation</t>
  </si>
  <si>
    <t>LMFT (TBD)</t>
  </si>
  <si>
    <t>Pre-launch</t>
  </si>
  <si>
    <t>Clinical safety review for negative visualization.</t>
  </si>
  <si>
    <t>Philosophical Advisor</t>
  </si>
  <si>
    <t>Consultant (TBD)</t>
  </si>
  <si>
    <t>Periodic consultation for classical sources.</t>
  </si>
  <si>
    <t>Customer Experience</t>
  </si>
  <si>
    <t>Support Tools</t>
  </si>
  <si>
    <t>Zendesk</t>
  </si>
  <si>
    <t>5K+ users</t>
  </si>
  <si>
    <t xml:space="preserve">$0-49 </t>
  </si>
  <si>
    <t>AI chatbot first ($0-30). Zendesk ($49/mo) if needed.</t>
  </si>
  <si>
    <t>User Research Tools</t>
  </si>
  <si>
    <t>Maze</t>
  </si>
  <si>
    <t xml:space="preserve">$0-99 </t>
  </si>
  <si>
    <t>Free surveys + AI first. Maze/UserTesting ($99/mo) at 10K+ users.</t>
  </si>
  <si>
    <t>Team &amp; Contractors</t>
  </si>
  <si>
    <t>Support Agent (0.5 FTE)</t>
  </si>
  <si>
    <t>10K+ users</t>
  </si>
  <si>
    <t>AI handles Tier 1, human for Tier 2. ~20 hrs/week at $15-25/hr. Est. $15,000-25,000/yr.</t>
  </si>
  <si>
    <t>Part-time Developer</t>
  </si>
  <si>
    <t>25K+ users</t>
  </si>
  <si>
    <t>25K users</t>
  </si>
  <si>
    <t>Project-based (animations, native modules). $50-150/hr, 5-10 hrs/week. Est. $5,000-15,000/yr.</t>
  </si>
  <si>
    <t>Part-time Designer</t>
  </si>
  <si>
    <t>As needed</t>
  </si>
  <si>
    <t>App redesign, marketing materials. $50-100/hr. Est. $2,000-5,000/yr.</t>
  </si>
  <si>
    <t>Part-time Product Manager</t>
  </si>
  <si>
    <t>50K+ users</t>
  </si>
  <si>
    <t>50K users</t>
  </si>
  <si>
    <t>User research, roadmap, prioritization. $75-150/hr, 10-15 hrs/week. Est. $15,000-25,000/yr.</t>
  </si>
  <si>
    <t>Row Labels</t>
  </si>
  <si>
    <t>Grand Total</t>
  </si>
  <si>
    <t>Sum of Calculated Annual Cost</t>
  </si>
  <si>
    <t>(All)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</si>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</sst>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6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Pengilly" refreshedDate="45987.645904282406" createdVersion="8" refreshedVersion="8" minRefreshableVersion="3" recordCount="49" xr:uid="{C959619A-D5FC-9647-92C2-45C25783475C}">
  <cacheSource type="worksheet">
    <worksheetSource ref="A1:K50" sheet="Budget_Cost_List_v4"/>
  </cacheSource>
  <cacheFields count="11">
    <cacheField name="Cost Category" numFmtId="0">
      <sharedItems count="11">
        <s v="Business Operations"/>
        <s v="Clinical Validation"/>
        <s v="Customer Experience"/>
        <s v="Design &amp; UX"/>
        <s v="Growth &amp; Development"/>
        <s v="Infrastructure"/>
        <s v="Insurance"/>
        <s v="Legal &amp; Compliance"/>
        <s v="Platform &amp; Distribution"/>
        <s v="Software Subscriptions"/>
        <s v="Team &amp; Contractors"/>
      </sharedItems>
    </cacheField>
    <cacheField name="Cost Description" numFmtId="0">
      <sharedItems count="49">
        <s v="Corporate Filings &amp; Compliance"/>
        <s v="Accounting &amp; Bookkeeping"/>
        <s v="Contingency Buffer"/>
        <s v="Miscellaneous Expenses"/>
        <s v="Premeditatio Safety Validation"/>
        <s v="Philosophical Advisor"/>
        <s v="Support Tools"/>
        <s v="User Research Tools"/>
        <s v="App Store Assets (Initial)"/>
        <s v="App Store Assets (Updates)"/>
        <s v="Brand Identity (Initial)"/>
        <s v="App Preview Video"/>
        <s v="Icon &amp; Asset Libraries"/>
        <s v="Events &amp; Webinars"/>
        <s v="Industry Memberships"/>
        <s v="Stoic Philosophy Resources"/>
        <s v="Conferences"/>
        <s v="Expo EAS Build (Production)"/>
        <s v="Supabase Database &amp; Storage"/>
        <s v="GitHub Actions (CI/CD)"/>
        <s v="Email Services"/>
        <s v="Domain Name"/>
        <s v="Error Monitoring"/>
        <s v="Business Insurance (Bundled)"/>
        <s v="Employment Practices Liability"/>
        <s v="Pre-Launch Legal Package"/>
        <s v="Security Audits (Pre-Launch)"/>
        <s v="Security Audits (Annual)"/>
        <s v="Legal Counsel (Ongoing)"/>
        <s v="Data Breach Response (Initial)"/>
        <s v="Data Breach Response (Ongoing)"/>
        <s v="Compliance Monitoring Tools"/>
        <s v="SOC 2 Certification"/>
        <s v="Apple Developer Program"/>
        <s v="Google Play Console"/>
        <s v="Payment Processing (Apple IAP)"/>
        <s v="Payment Processing (Google Play)"/>
        <s v="Payment Processing (Stripe)"/>
        <s v="AI Coding Assistant (Claude Max)"/>
        <s v="Microsoft 365"/>
        <s v="Notion"/>
        <s v="Proton Pass"/>
        <s v="Proton VPN"/>
        <s v="Figma"/>
        <s v="Bookkeeping Software"/>
        <s v="Support Agent (0.5 FTE)"/>
        <s v="Part-time Developer"/>
        <s v="Part-time Designer"/>
        <s v="Part-time Product Manager"/>
      </sharedItems>
    </cacheField>
    <cacheField name="Vendor" numFmtId="0">
      <sharedItems count="32">
        <s v="State + Agent"/>
        <s v="CPA (TBD)"/>
        <s v="N/A"/>
        <s v="Various"/>
        <s v="LMFT (TBD)"/>
        <s v="Consultant (TBD)"/>
        <s v="Zendesk"/>
        <s v="Maze"/>
        <s v="DIY or Freelancer"/>
        <s v="Noun Project"/>
        <s v="Expo"/>
        <s v="Supabase"/>
        <s v="GitHub"/>
        <s v="Resend"/>
        <s v="Cloudflare"/>
        <s v="Sentry"/>
        <s v="Insurance Broker (TBD)"/>
        <s v="Attorney (TBD)"/>
        <s v="DIY + Optional"/>
        <s v="Security Firm (TBD)"/>
        <s v="Security Consultant"/>
        <s v="OSS + Optional"/>
        <s v="Auditor (TBD)"/>
        <s v="Apple"/>
        <s v="Google"/>
        <s v="Stripe"/>
        <s v="Anthropic"/>
        <s v="Microsoft"/>
        <s v="Notion"/>
        <s v="Proton"/>
        <s v="Figma"/>
        <s v="TBD"/>
      </sharedItems>
    </cacheField>
    <cacheField name="Cost Type" numFmtId="0">
      <sharedItems count="2">
        <s v="Fixed"/>
        <s v="Variable"/>
      </sharedItems>
    </cacheField>
    <cacheField name="Frequency" numFmtId="0">
      <sharedItems/>
    </cacheField>
    <cacheField name="User Tier" numFmtId="0">
      <sharedItems/>
    </cacheField>
    <cacheField name="Monthly Cost" numFmtId="0">
      <sharedItems containsMixedTypes="1" containsNumber="1" containsInteger="1" minValue="10" maxValue="100" count="15">
        <s v=" $-   "/>
        <s v="10% of total"/>
        <s v="$100-200 "/>
        <s v="$0-49 "/>
        <s v="$0-99 "/>
        <n v="10"/>
        <s v="$0-250 "/>
        <n v="99"/>
        <s v="$0-25 "/>
        <s v="$0-12 "/>
        <s v="$0-20 "/>
        <s v="$0-29 "/>
        <s v="15-30% of revenue"/>
        <s v="2.9% + $0.30"/>
        <n v="100"/>
      </sharedItems>
    </cacheField>
    <cacheField name="Annual Cost" numFmtId="0">
      <sharedItems containsMixedTypes="1" containsNumber="1" containsInteger="1" minValue="25" maxValue="2000"/>
    </cacheField>
    <cacheField name="Calculated Annual Cost" numFmtId="0">
      <sharedItems containsMixedTypes="1" containsNumber="1" containsInteger="1" minValue="0" maxValue="32500" count="24">
        <n v="175"/>
        <n v="1500"/>
        <s v="10% of subtotal"/>
        <n v="1800"/>
        <n v="400"/>
        <n v="500"/>
        <n v="0"/>
        <n v="300"/>
        <n v="200"/>
        <n v="120"/>
        <n v="100"/>
        <n v="2000"/>
        <n v="1188"/>
        <n v="12"/>
        <n v="3750"/>
        <n v="2500"/>
        <n v="2250"/>
        <n v="350"/>
        <n v="32500"/>
        <n v="99"/>
        <n v="25"/>
        <s v="% of revenue"/>
        <n v="1200"/>
        <s v=" $-   "/>
      </sharedItems>
    </cacheField>
    <cacheField name="Trigger" numFmtId="0">
      <sharedItems count="21">
        <s v="Launch"/>
        <s v="Ongoing"/>
        <s v="Pre-launch"/>
        <s v="Optional"/>
        <s v="5K users"/>
        <s v="Launch (optional)"/>
        <s v="Post-launch"/>
        <s v="Post-revenue"/>
        <s v="10K users"/>
        <s v="1K users"/>
        <s v="Year 1"/>
        <s v="Hiring"/>
        <s v="Year 1+"/>
        <s v="Pre-scale"/>
        <s v="Year 2+"/>
        <s v="B2B pivot"/>
        <s v="Revenue"/>
        <s v="Web launch"/>
        <s v="25K users"/>
        <s v="As needed"/>
        <s v="50K users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s v="Ongoing"/>
    <s v="All"/>
    <x v="0"/>
    <n v="175"/>
    <x v="0"/>
    <x v="0"/>
    <s v="LLC annual reports, business licenses, registered agent fees."/>
  </r>
  <r>
    <x v="0"/>
    <x v="1"/>
    <x v="1"/>
    <x v="1"/>
    <s v="Ongoing"/>
    <s v="All"/>
    <x v="0"/>
    <s v="$1000-2500 "/>
    <x v="1"/>
    <x v="0"/>
    <s v="Tax prep, financial reporting, bookkeeping. Base ~$1,000/yr solo. Scales to $2,000-2,500 with payroll/multi-state."/>
  </r>
  <r>
    <x v="0"/>
    <x v="2"/>
    <x v="2"/>
    <x v="1"/>
    <s v="Ongoing"/>
    <s v="All"/>
    <x v="1"/>
    <s v="N/A"/>
    <x v="2"/>
    <x v="1"/>
    <s v="Buffer for unexpected costs."/>
  </r>
  <r>
    <x v="0"/>
    <x v="3"/>
    <x v="3"/>
    <x v="1"/>
    <s v="Ongoing"/>
    <s v="All"/>
    <x v="2"/>
    <s v=" $-   "/>
    <x v="3"/>
    <x v="1"/>
    <s v="Supplies, licenses, unexpected costs."/>
  </r>
  <r>
    <x v="1"/>
    <x v="4"/>
    <x v="4"/>
    <x v="0"/>
    <s v="One-time"/>
    <s v="All"/>
    <x v="0"/>
    <n v="400"/>
    <x v="4"/>
    <x v="2"/>
    <s v="Clinical safety review for negative visualization."/>
  </r>
  <r>
    <x v="1"/>
    <x v="5"/>
    <x v="5"/>
    <x v="0"/>
    <s v="Ongoing"/>
    <s v="All"/>
    <x v="0"/>
    <n v="500"/>
    <x v="5"/>
    <x v="3"/>
    <s v="Periodic consultation for classical sources."/>
  </r>
  <r>
    <x v="2"/>
    <x v="6"/>
    <x v="6"/>
    <x v="0"/>
    <s v="Ongoing"/>
    <s v="5K+ users"/>
    <x v="3"/>
    <s v=" $-   "/>
    <x v="6"/>
    <x v="4"/>
    <s v="AI chatbot first ($0-30). Zendesk ($49/mo) if needed."/>
  </r>
  <r>
    <x v="2"/>
    <x v="7"/>
    <x v="7"/>
    <x v="0"/>
    <s v="Ongoing"/>
    <s v="5K+ users"/>
    <x v="4"/>
    <s v=" $-   "/>
    <x v="6"/>
    <x v="4"/>
    <s v="Free surveys + AI first. Maze/UserTesting ($99/mo) at 10K+ users."/>
  </r>
  <r>
    <x v="3"/>
    <x v="8"/>
    <x v="8"/>
    <x v="0"/>
    <s v="One-time"/>
    <s v="All"/>
    <x v="0"/>
    <s v="$0-500 "/>
    <x v="6"/>
    <x v="5"/>
    <s v="AI tools (Midjourney, Canva) or freelancer."/>
  </r>
  <r>
    <x v="3"/>
    <x v="9"/>
    <x v="8"/>
    <x v="1"/>
    <s v="Ongoing"/>
    <s v="All"/>
    <x v="0"/>
    <s v="$200-400 "/>
    <x v="7"/>
    <x v="1"/>
    <s v="Updates per major release (2-4/year). $50-150/update with AI tools."/>
  </r>
  <r>
    <x v="3"/>
    <x v="10"/>
    <x v="8"/>
    <x v="0"/>
    <s v="One-time"/>
    <s v="All"/>
    <x v="0"/>
    <s v="$0-1000 "/>
    <x v="7"/>
    <x v="5"/>
    <s v="DIY with AI tools ($0) or freelancer ($500-1000) for logo, colors, guidelines."/>
  </r>
  <r>
    <x v="3"/>
    <x v="11"/>
    <x v="8"/>
    <x v="0"/>
    <s v="One-time"/>
    <s v="All"/>
    <x v="0"/>
    <s v="$0-1000 "/>
    <x v="8"/>
    <x v="6"/>
    <s v="DIY with AI tools ($0-100) or professional ($500-1000). High ROI for conversions."/>
  </r>
  <r>
    <x v="3"/>
    <x v="12"/>
    <x v="9"/>
    <x v="0"/>
    <s v="Ongoing"/>
    <s v="All"/>
    <x v="5"/>
    <s v=" $-   "/>
    <x v="9"/>
    <x v="3"/>
    <s v="Optional polish. Free alternatives sufficient."/>
  </r>
  <r>
    <x v="4"/>
    <x v="13"/>
    <x v="3"/>
    <x v="0"/>
    <s v="Ongoing"/>
    <s v="All"/>
    <x v="6"/>
    <s v=" $-   "/>
    <x v="6"/>
    <x v="7"/>
    <s v="YouTube Live, Zoom free pre-revenue."/>
  </r>
  <r>
    <x v="4"/>
    <x v="14"/>
    <x v="3"/>
    <x v="0"/>
    <s v="Ongoing"/>
    <s v="All"/>
    <x v="0"/>
    <n v="200"/>
    <x v="8"/>
    <x v="7"/>
    <s v="Mental Health America, philosophy associations."/>
  </r>
  <r>
    <x v="4"/>
    <x v="15"/>
    <x v="3"/>
    <x v="0"/>
    <s v="Ongoing"/>
    <s v="All"/>
    <x v="0"/>
    <n v="100"/>
    <x v="10"/>
    <x v="1"/>
    <s v="Books, journals, courses."/>
  </r>
  <r>
    <x v="4"/>
    <x v="16"/>
    <x v="3"/>
    <x v="0"/>
    <s v="Ongoing"/>
    <s v="All"/>
    <x v="0"/>
    <n v="2000"/>
    <x v="11"/>
    <x v="3"/>
    <s v="Stoic Week, mental health conferences."/>
  </r>
  <r>
    <x v="5"/>
    <x v="17"/>
    <x v="10"/>
    <x v="0"/>
    <s v="Ongoing"/>
    <s v="All"/>
    <x v="7"/>
    <s v=" $-   "/>
    <x v="12"/>
    <x v="0"/>
    <s v="Production deployment, unlimited builds, EAS Update, Device Cloud."/>
  </r>
  <r>
    <x v="5"/>
    <x v="18"/>
    <x v="11"/>
    <x v="0"/>
    <s v="Ongoing"/>
    <s v="All"/>
    <x v="8"/>
    <s v=" $-   "/>
    <x v="6"/>
    <x v="8"/>
    <s v="Free tier: 500MB DB, 2GB bandwidth/mo, supports 10K users/300 DAU. Pro ($25/mo, $300/yr) at 10K-100K users."/>
  </r>
  <r>
    <x v="5"/>
    <x v="19"/>
    <x v="12"/>
    <x v="0"/>
    <s v="Ongoing"/>
    <s v="All"/>
    <x v="9"/>
    <s v=" $-   "/>
    <x v="6"/>
    <x v="4"/>
    <s v="Free tier: 2,000 min/mo, sufficient for 0-5K users. Paid ($12/mo) when exceeding."/>
  </r>
  <r>
    <x v="5"/>
    <x v="20"/>
    <x v="13"/>
    <x v="0"/>
    <s v="Ongoing"/>
    <s v="All"/>
    <x v="10"/>
    <s v=" $-   "/>
    <x v="6"/>
    <x v="9"/>
    <s v="Free: 3,000 emails/mo. Pro $20/mo (50K emails) at scale. Auth + transactional + onboarding."/>
  </r>
  <r>
    <x v="5"/>
    <x v="21"/>
    <x v="14"/>
    <x v="0"/>
    <s v="Ongoing"/>
    <s v="All"/>
    <x v="0"/>
    <s v="$10-15 "/>
    <x v="13"/>
    <x v="0"/>
    <s v="Domain registration via Cloudflare. Annual renewal."/>
  </r>
  <r>
    <x v="5"/>
    <x v="22"/>
    <x v="15"/>
    <x v="0"/>
    <s v="Ongoing"/>
    <s v="All"/>
    <x v="11"/>
    <s v=" $-   "/>
    <x v="6"/>
    <x v="9"/>
    <s v="Free: 5K events/mo (0-1K users). Team ($29/mo, $348/yr) at 1K-10K users."/>
  </r>
  <r>
    <x v="6"/>
    <x v="23"/>
    <x v="16"/>
    <x v="0"/>
    <s v="Ongoing"/>
    <s v="All"/>
    <x v="0"/>
    <s v="$3500-4000 "/>
    <x v="14"/>
    <x v="10"/>
    <s v="Cyber ($1M breach) + General Liability + D&amp;O. Bundled saves 10-15%."/>
  </r>
  <r>
    <x v="6"/>
    <x v="24"/>
    <x v="16"/>
    <x v="0"/>
    <s v="Ongoing"/>
    <s v="All"/>
    <x v="0"/>
    <n v="500"/>
    <x v="5"/>
    <x v="11"/>
    <s v="Only when hiring employees."/>
  </r>
  <r>
    <x v="7"/>
    <x v="25"/>
    <x v="17"/>
    <x v="0"/>
    <s v="One-time"/>
    <s v="All"/>
    <x v="0"/>
    <s v="$0-500 "/>
    <x v="7"/>
    <x v="5"/>
    <s v="AI drafts docs, optional 1-hr lawyer review ($300-500). Most indie apps launch with $0."/>
  </r>
  <r>
    <x v="7"/>
    <x v="26"/>
    <x v="18"/>
    <x v="0"/>
    <s v="One-time"/>
    <s v="All"/>
    <x v="0"/>
    <s v="$0-500 "/>
    <x v="6"/>
    <x v="5"/>
    <s v="Free tools (Snyk, Dependabot, CodeQL) + AI review. Optional spot-check ($300-500)."/>
  </r>
  <r>
    <x v="7"/>
    <x v="27"/>
    <x v="19"/>
    <x v="1"/>
    <s v="Ongoing"/>
    <s v="All"/>
    <x v="0"/>
    <s v="$1500-3000 "/>
    <x v="15"/>
    <x v="12"/>
    <s v="AI pre-scan + human expert review. Every 18-24 months."/>
  </r>
  <r>
    <x v="7"/>
    <x v="28"/>
    <x v="17"/>
    <x v="1"/>
    <s v="Ongoing"/>
    <s v="All"/>
    <x v="0"/>
    <s v="$2000-2500 "/>
    <x v="16"/>
    <x v="12"/>
    <s v="Quarterly reviews, regulatory monitoring. ~5-8 hrs/year at $300-500/hr."/>
  </r>
  <r>
    <x v="7"/>
    <x v="29"/>
    <x v="20"/>
    <x v="0"/>
    <s v="One-time"/>
    <s v="All"/>
    <x v="0"/>
    <s v="$300-700 "/>
    <x v="5"/>
    <x v="13"/>
    <s v="AI drafts IR plan, expert review 1-2 hrs."/>
  </r>
  <r>
    <x v="7"/>
    <x v="30"/>
    <x v="20"/>
    <x v="1"/>
    <s v="Ongoing"/>
    <s v="All"/>
    <x v="0"/>
    <s v="$200-500 "/>
    <x v="17"/>
    <x v="14"/>
    <s v="Annual IR plan testing and updates."/>
  </r>
  <r>
    <x v="7"/>
    <x v="31"/>
    <x v="21"/>
    <x v="0"/>
    <s v="One-time"/>
    <s v="All"/>
    <x v="0"/>
    <s v="$0-1000 "/>
    <x v="5"/>
    <x v="13"/>
    <s v="k-anonymity, differential privacy. OSS libraries."/>
  </r>
  <r>
    <x v="7"/>
    <x v="32"/>
    <x v="22"/>
    <x v="0"/>
    <s v="Ongoing"/>
    <s v="All"/>
    <x v="0"/>
    <s v="$15000-50000 "/>
    <x v="18"/>
    <x v="15"/>
    <s v="NOT needed for consumer app. Only for B2B/enterprise."/>
  </r>
  <r>
    <x v="8"/>
    <x v="33"/>
    <x v="23"/>
    <x v="0"/>
    <s v="Ongoing"/>
    <s v="All"/>
    <x v="0"/>
    <n v="99"/>
    <x v="19"/>
    <x v="0"/>
    <s v="Annual $99 fee. Required for App Store distribution, Sign in with Apple, TestFlight."/>
  </r>
  <r>
    <x v="8"/>
    <x v="34"/>
    <x v="24"/>
    <x v="0"/>
    <s v="One-time"/>
    <s v="All"/>
    <x v="0"/>
    <n v="25"/>
    <x v="20"/>
    <x v="0"/>
    <s v="One-time $25 fee. Required for Play Store distribution."/>
  </r>
  <r>
    <x v="8"/>
    <x v="35"/>
    <x v="23"/>
    <x v="1"/>
    <s v="Ongoing"/>
    <s v="All"/>
    <x v="12"/>
    <s v=" $-   "/>
    <x v="21"/>
    <x v="16"/>
    <s v="15% (Y2+ subscribers), 30% (monthly). Taken from revenue."/>
  </r>
  <r>
    <x v="8"/>
    <x v="36"/>
    <x v="24"/>
    <x v="1"/>
    <s v="Ongoing"/>
    <s v="All"/>
    <x v="12"/>
    <s v=" $-   "/>
    <x v="21"/>
    <x v="16"/>
    <s v="15% (first $1M), 30% (after). Taken from revenue."/>
  </r>
  <r>
    <x v="8"/>
    <x v="37"/>
    <x v="25"/>
    <x v="1"/>
    <s v="Ongoing"/>
    <s v="All"/>
    <x v="13"/>
    <s v=" $-   "/>
    <x v="21"/>
    <x v="17"/>
    <s v="For web subscriptions. Cloudflare handles hosting (free)."/>
  </r>
  <r>
    <x v="9"/>
    <x v="38"/>
    <x v="26"/>
    <x v="0"/>
    <s v="Ongoing"/>
    <s v="All"/>
    <x v="14"/>
    <s v=" $-   "/>
    <x v="22"/>
    <x v="0"/>
    <s v="PRIMARY development tool. Claude Max subscription."/>
  </r>
  <r>
    <x v="9"/>
    <x v="39"/>
    <x v="27"/>
    <x v="0"/>
    <s v="Ongoing"/>
    <s v="All"/>
    <x v="0"/>
    <s v=" $-   "/>
    <x v="23"/>
    <x v="0"/>
    <s v="Business email and productivity. Enter your actual cost."/>
  </r>
  <r>
    <x v="9"/>
    <x v="40"/>
    <x v="28"/>
    <x v="0"/>
    <s v="Ongoing"/>
    <s v="All"/>
    <x v="0"/>
    <s v=" $-   "/>
    <x v="23"/>
    <x v="0"/>
    <s v="Project management. Free or Plus tier. Enter your actual cost."/>
  </r>
  <r>
    <x v="9"/>
    <x v="41"/>
    <x v="29"/>
    <x v="0"/>
    <s v="Ongoing"/>
    <s v="All"/>
    <x v="0"/>
    <s v=" $-   "/>
    <x v="23"/>
    <x v="0"/>
    <s v="Password manager. Free or paid tier. Enter your actual cost."/>
  </r>
  <r>
    <x v="9"/>
    <x v="42"/>
    <x v="29"/>
    <x v="0"/>
    <s v="Ongoing"/>
    <s v="All"/>
    <x v="0"/>
    <s v=" $-   "/>
    <x v="23"/>
    <x v="0"/>
    <s v="VPN service. Free or paid tier. Enter your actual cost."/>
  </r>
  <r>
    <x v="9"/>
    <x v="43"/>
    <x v="30"/>
    <x v="0"/>
    <s v="Ongoing"/>
    <s v="All"/>
    <x v="0"/>
    <s v=" $-   "/>
    <x v="23"/>
    <x v="0"/>
    <s v="Design tool. Free for personal use. Enter your actual cost."/>
  </r>
  <r>
    <x v="9"/>
    <x v="44"/>
    <x v="31"/>
    <x v="0"/>
    <s v="Ongoing"/>
    <s v="All"/>
    <x v="0"/>
    <s v=" $-   "/>
    <x v="23"/>
    <x v="0"/>
    <s v="QuickBooks, Xero, or Wave. Enter your choice and cost."/>
  </r>
  <r>
    <x v="10"/>
    <x v="45"/>
    <x v="31"/>
    <x v="1"/>
    <s v="Ongoing"/>
    <s v="10K+ users"/>
    <x v="0"/>
    <s v=" $-   "/>
    <x v="6"/>
    <x v="8"/>
    <s v="AI handles Tier 1, human for Tier 2. ~20 hrs/week at $15-25/hr. Est. $15,000-25,000/yr."/>
  </r>
  <r>
    <x v="10"/>
    <x v="46"/>
    <x v="31"/>
    <x v="1"/>
    <s v="Ongoing"/>
    <s v="25K+ users"/>
    <x v="0"/>
    <s v=" $-   "/>
    <x v="6"/>
    <x v="18"/>
    <s v="Project-based (animations, native modules). $50-150/hr, 5-10 hrs/week. Est. $5,000-15,000/yr."/>
  </r>
  <r>
    <x v="10"/>
    <x v="47"/>
    <x v="31"/>
    <x v="1"/>
    <s v="Ongoing"/>
    <s v="All"/>
    <x v="0"/>
    <s v=" $-   "/>
    <x v="6"/>
    <x v="19"/>
    <s v="App redesign, marketing materials. $50-100/hr. Est. $2,000-5,000/yr."/>
  </r>
  <r>
    <x v="10"/>
    <x v="48"/>
    <x v="31"/>
    <x v="1"/>
    <s v="Ongoing"/>
    <s v="50K+ users"/>
    <x v="0"/>
    <s v=" $-   "/>
    <x v="6"/>
    <x v="20"/>
    <s v="User research, roadmap, prioritization. $75-150/hr, 10-15 hrs/week. Est. $15,000-25,000/yr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A11C6-949B-B941-9F97-69DEDE71517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5" firstHeaderRow="1" firstDataRow="1" firstDataCol="1" rowPageCount="2" colPageCount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50">
        <item x="1"/>
        <item x="38"/>
        <item x="11"/>
        <item x="8"/>
        <item x="9"/>
        <item x="33"/>
        <item x="44"/>
        <item x="10"/>
        <item x="23"/>
        <item x="31"/>
        <item x="16"/>
        <item x="2"/>
        <item x="0"/>
        <item x="29"/>
        <item x="30"/>
        <item x="21"/>
        <item x="20"/>
        <item x="24"/>
        <item x="22"/>
        <item x="13"/>
        <item x="17"/>
        <item x="43"/>
        <item x="19"/>
        <item x="34"/>
        <item x="12"/>
        <item x="14"/>
        <item x="28"/>
        <item x="39"/>
        <item x="3"/>
        <item x="40"/>
        <item x="47"/>
        <item x="46"/>
        <item x="48"/>
        <item x="35"/>
        <item x="36"/>
        <item x="37"/>
        <item x="5"/>
        <item x="25"/>
        <item x="4"/>
        <item x="41"/>
        <item x="42"/>
        <item x="27"/>
        <item x="26"/>
        <item x="32"/>
        <item x="15"/>
        <item x="18"/>
        <item x="45"/>
        <item x="6"/>
        <item x="7"/>
        <item t="default"/>
      </items>
    </pivotField>
    <pivotField showAll="0">
      <items count="33">
        <item x="26"/>
        <item x="23"/>
        <item x="17"/>
        <item x="22"/>
        <item x="14"/>
        <item x="5"/>
        <item x="1"/>
        <item x="18"/>
        <item x="8"/>
        <item x="10"/>
        <item x="30"/>
        <item x="12"/>
        <item x="24"/>
        <item x="16"/>
        <item x="4"/>
        <item x="7"/>
        <item x="27"/>
        <item x="2"/>
        <item x="28"/>
        <item x="9"/>
        <item x="21"/>
        <item x="29"/>
        <item x="13"/>
        <item x="20"/>
        <item x="19"/>
        <item x="15"/>
        <item x="0"/>
        <item x="25"/>
        <item x="11"/>
        <item x="31"/>
        <item x="3"/>
        <item x="6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>
      <items count="16">
        <item x="5"/>
        <item x="7"/>
        <item x="14"/>
        <item x="0"/>
        <item x="9"/>
        <item x="10"/>
        <item x="8"/>
        <item x="6"/>
        <item x="11"/>
        <item x="3"/>
        <item x="4"/>
        <item x="2"/>
        <item x="1"/>
        <item x="12"/>
        <item x="13"/>
        <item t="default"/>
      </items>
    </pivotField>
    <pivotField showAll="0"/>
    <pivotField dataField="1" showAll="0">
      <items count="25">
        <item x="6"/>
        <item x="13"/>
        <item x="20"/>
        <item x="19"/>
        <item x="10"/>
        <item x="9"/>
        <item x="0"/>
        <item x="8"/>
        <item x="7"/>
        <item x="17"/>
        <item x="4"/>
        <item x="5"/>
        <item x="12"/>
        <item x="22"/>
        <item x="1"/>
        <item x="3"/>
        <item x="11"/>
        <item x="16"/>
        <item x="15"/>
        <item x="14"/>
        <item x="18"/>
        <item x="23"/>
        <item x="21"/>
        <item x="2"/>
        <item t="default"/>
      </items>
    </pivotField>
    <pivotField axis="axisPage" multipleItemSelectionAllowed="1" showAll="0">
      <items count="22">
        <item h="1" x="8"/>
        <item h="1" x="9"/>
        <item h="1" x="18"/>
        <item h="1" x="20"/>
        <item h="1" x="4"/>
        <item h="1" x="19"/>
        <item h="1" x="15"/>
        <item h="1" x="11"/>
        <item x="0"/>
        <item x="5"/>
        <item x="1"/>
        <item h="1" x="3"/>
        <item h="1" x="6"/>
        <item h="1" x="7"/>
        <item x="2"/>
        <item h="1" x="13"/>
        <item h="1" x="16"/>
        <item h="1" x="17"/>
        <item h="1" x="10"/>
        <item h="1" x="12"/>
        <item h="1" x="14"/>
        <item t="default"/>
      </items>
    </pivotField>
    <pivotField showAll="0"/>
  </pivotFields>
  <rowFields count="2">
    <field x="0"/>
    <field x="1"/>
  </rowFields>
  <rowItems count="31">
    <i>
      <x/>
    </i>
    <i r="1">
      <x/>
    </i>
    <i r="1">
      <x v="11"/>
    </i>
    <i r="1">
      <x v="12"/>
    </i>
    <i r="1">
      <x v="28"/>
    </i>
    <i>
      <x v="1"/>
    </i>
    <i r="1">
      <x v="38"/>
    </i>
    <i>
      <x v="3"/>
    </i>
    <i r="1">
      <x v="3"/>
    </i>
    <i r="1">
      <x v="4"/>
    </i>
    <i r="1">
      <x v="7"/>
    </i>
    <i>
      <x v="4"/>
    </i>
    <i r="1">
      <x v="44"/>
    </i>
    <i>
      <x v="5"/>
    </i>
    <i r="1">
      <x v="15"/>
    </i>
    <i r="1">
      <x v="20"/>
    </i>
    <i>
      <x v="7"/>
    </i>
    <i r="1">
      <x v="37"/>
    </i>
    <i r="1">
      <x v="42"/>
    </i>
    <i>
      <x v="8"/>
    </i>
    <i r="1">
      <x v="5"/>
    </i>
    <i r="1">
      <x v="23"/>
    </i>
    <i>
      <x v="9"/>
    </i>
    <i r="1">
      <x v="1"/>
    </i>
    <i r="1">
      <x v="6"/>
    </i>
    <i r="1">
      <x v="21"/>
    </i>
    <i r="1">
      <x v="27"/>
    </i>
    <i r="1">
      <x v="29"/>
    </i>
    <i r="1">
      <x v="39"/>
    </i>
    <i r="1">
      <x v="40"/>
    </i>
    <i t="grand">
      <x/>
    </i>
  </rowItems>
  <colItems count="1">
    <i/>
  </colItems>
  <pageFields count="2">
    <pageField fld="9" hier="-1"/>
    <pageField fld="3" hier="-1"/>
  </pageFields>
  <dataFields count="1">
    <dataField name="Sum of Calculated Annual Co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EC4787-49E8-2544-9D64-007496C6DA1A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6DA7-AA94-6A46-832C-0A616B6FEAD3}">
  <dimension ref="A1:B35"/>
  <sheetViews>
    <sheetView tabSelected="1" topLeftCell="A2" workbookViewId="0">
      <selection activeCell="F20" sqref="F20"/>
    </sheetView>
  </sheetViews>
  <sheetFormatPr baseColWidth="10" defaultRowHeight="16" x14ac:dyDescent="0.2"/>
  <cols>
    <col min="1" max="1" width="31.1640625" bestFit="1" customWidth="1"/>
    <col min="2" max="2" width="27" bestFit="1" customWidth="1"/>
    <col min="3" max="4" width="5.1640625" bestFit="1" customWidth="1"/>
    <col min="5" max="8" width="6.1640625" bestFit="1" customWidth="1"/>
    <col min="9" max="9" width="7.1640625" bestFit="1" customWidth="1"/>
    <col min="10" max="12" width="6.1640625" bestFit="1" customWidth="1"/>
    <col min="13" max="13" width="9.1640625" bestFit="1" customWidth="1"/>
    <col min="14" max="14" width="10.83203125" bestFit="1" customWidth="1"/>
    <col min="15" max="15" width="16.33203125" bestFit="1" customWidth="1"/>
    <col min="16" max="16" width="11.33203125" bestFit="1" customWidth="1"/>
    <col min="17" max="17" width="10.5" bestFit="1" customWidth="1"/>
    <col min="18" max="21" width="5.1640625" bestFit="1" customWidth="1"/>
    <col min="22" max="22" width="6.1640625" bestFit="1" customWidth="1"/>
    <col min="23" max="23" width="4.1640625" bestFit="1" customWidth="1"/>
    <col min="24" max="24" width="11.5" bestFit="1" customWidth="1"/>
    <col min="25" max="25" width="13.83203125" bestFit="1" customWidth="1"/>
    <col min="26" max="26" width="10.5" bestFit="1" customWidth="1"/>
    <col min="27" max="27" width="6.33203125" bestFit="1" customWidth="1"/>
    <col min="28" max="28" width="12" bestFit="1" customWidth="1"/>
    <col min="29" max="29" width="6" bestFit="1" customWidth="1"/>
    <col min="30" max="30" width="9.1640625" bestFit="1" customWidth="1"/>
    <col min="31" max="31" width="4.5" bestFit="1" customWidth="1"/>
    <col min="32" max="32" width="7.5" bestFit="1" customWidth="1"/>
    <col min="33" max="33" width="8.1640625" bestFit="1" customWidth="1"/>
    <col min="34" max="34" width="10.5" bestFit="1" customWidth="1"/>
  </cols>
  <sheetData>
    <row r="1" spans="1:2" x14ac:dyDescent="0.2">
      <c r="A1" s="3" t="s">
        <v>9</v>
      </c>
      <c r="B1" t="s">
        <v>208</v>
      </c>
    </row>
    <row r="2" spans="1:2" x14ac:dyDescent="0.2">
      <c r="A2" s="3" t="s">
        <v>3</v>
      </c>
      <c r="B2" t="s">
        <v>207</v>
      </c>
    </row>
    <row r="4" spans="1:2" x14ac:dyDescent="0.2">
      <c r="A4" s="3" t="s">
        <v>204</v>
      </c>
      <c r="B4" t="s">
        <v>206</v>
      </c>
    </row>
    <row r="5" spans="1:2" x14ac:dyDescent="0.2">
      <c r="A5" s="4" t="s">
        <v>127</v>
      </c>
      <c r="B5" s="6">
        <v>3475</v>
      </c>
    </row>
    <row r="6" spans="1:2" x14ac:dyDescent="0.2">
      <c r="A6" s="5" t="s">
        <v>131</v>
      </c>
      <c r="B6" s="6">
        <v>1500</v>
      </c>
    </row>
    <row r="7" spans="1:2" x14ac:dyDescent="0.2">
      <c r="A7" s="5" t="s">
        <v>135</v>
      </c>
      <c r="B7" s="6">
        <v>0</v>
      </c>
    </row>
    <row r="8" spans="1:2" x14ac:dyDescent="0.2">
      <c r="A8" s="5" t="s">
        <v>128</v>
      </c>
      <c r="B8" s="6">
        <v>175</v>
      </c>
    </row>
    <row r="9" spans="1:2" x14ac:dyDescent="0.2">
      <c r="A9" s="5" t="s">
        <v>140</v>
      </c>
      <c r="B9" s="6">
        <v>1800</v>
      </c>
    </row>
    <row r="10" spans="1:2" x14ac:dyDescent="0.2">
      <c r="A10" s="4" t="s">
        <v>171</v>
      </c>
      <c r="B10" s="6">
        <v>400</v>
      </c>
    </row>
    <row r="11" spans="1:2" x14ac:dyDescent="0.2">
      <c r="A11" s="5" t="s">
        <v>172</v>
      </c>
      <c r="B11" s="6">
        <v>400</v>
      </c>
    </row>
    <row r="12" spans="1:2" x14ac:dyDescent="0.2">
      <c r="A12" s="4" t="s">
        <v>144</v>
      </c>
      <c r="B12" s="6">
        <v>600</v>
      </c>
    </row>
    <row r="13" spans="1:2" x14ac:dyDescent="0.2">
      <c r="A13" s="5" t="s">
        <v>145</v>
      </c>
      <c r="B13" s="6">
        <v>0</v>
      </c>
    </row>
    <row r="14" spans="1:2" x14ac:dyDescent="0.2">
      <c r="A14" s="5" t="s">
        <v>148</v>
      </c>
      <c r="B14" s="6">
        <v>300</v>
      </c>
    </row>
    <row r="15" spans="1:2" x14ac:dyDescent="0.2">
      <c r="A15" s="5" t="s">
        <v>151</v>
      </c>
      <c r="B15" s="6">
        <v>300</v>
      </c>
    </row>
    <row r="16" spans="1:2" x14ac:dyDescent="0.2">
      <c r="A16" s="4" t="s">
        <v>160</v>
      </c>
      <c r="B16" s="6">
        <v>100</v>
      </c>
    </row>
    <row r="17" spans="1:2" x14ac:dyDescent="0.2">
      <c r="A17" s="5" t="s">
        <v>167</v>
      </c>
      <c r="B17" s="6">
        <v>100</v>
      </c>
    </row>
    <row r="18" spans="1:2" x14ac:dyDescent="0.2">
      <c r="A18" s="4" t="s">
        <v>56</v>
      </c>
      <c r="B18" s="6">
        <v>1200</v>
      </c>
    </row>
    <row r="19" spans="1:2" x14ac:dyDescent="0.2">
      <c r="A19" s="5" t="s">
        <v>75</v>
      </c>
      <c r="B19" s="6">
        <v>12</v>
      </c>
    </row>
    <row r="20" spans="1:2" x14ac:dyDescent="0.2">
      <c r="A20" s="5" t="s">
        <v>57</v>
      </c>
      <c r="B20" s="6">
        <v>1188</v>
      </c>
    </row>
    <row r="21" spans="1:2" x14ac:dyDescent="0.2">
      <c r="A21" s="4" t="s">
        <v>83</v>
      </c>
      <c r="B21" s="6">
        <v>300</v>
      </c>
    </row>
    <row r="22" spans="1:2" x14ac:dyDescent="0.2">
      <c r="A22" s="5" t="s">
        <v>84</v>
      </c>
      <c r="B22" s="6">
        <v>300</v>
      </c>
    </row>
    <row r="23" spans="1:2" x14ac:dyDescent="0.2">
      <c r="A23" s="5" t="s">
        <v>89</v>
      </c>
      <c r="B23" s="6">
        <v>0</v>
      </c>
    </row>
    <row r="24" spans="1:2" x14ac:dyDescent="0.2">
      <c r="A24" s="4" t="s">
        <v>11</v>
      </c>
      <c r="B24" s="6">
        <v>124</v>
      </c>
    </row>
    <row r="25" spans="1:2" x14ac:dyDescent="0.2">
      <c r="A25" s="5" t="s">
        <v>12</v>
      </c>
      <c r="B25" s="6">
        <v>99</v>
      </c>
    </row>
    <row r="26" spans="1:2" x14ac:dyDescent="0.2">
      <c r="A26" s="5" t="s">
        <v>20</v>
      </c>
      <c r="B26" s="6">
        <v>25</v>
      </c>
    </row>
    <row r="27" spans="1:2" x14ac:dyDescent="0.2">
      <c r="A27" s="4" t="s">
        <v>37</v>
      </c>
      <c r="B27" s="6">
        <v>1200</v>
      </c>
    </row>
    <row r="28" spans="1:2" x14ac:dyDescent="0.2">
      <c r="A28" s="5" t="s">
        <v>38</v>
      </c>
      <c r="B28" s="6">
        <v>1200</v>
      </c>
    </row>
    <row r="29" spans="1:2" x14ac:dyDescent="0.2">
      <c r="A29" s="5" t="s">
        <v>53</v>
      </c>
      <c r="B29" s="6">
        <v>0</v>
      </c>
    </row>
    <row r="30" spans="1:2" x14ac:dyDescent="0.2">
      <c r="A30" s="5" t="s">
        <v>51</v>
      </c>
      <c r="B30" s="6">
        <v>0</v>
      </c>
    </row>
    <row r="31" spans="1:2" x14ac:dyDescent="0.2">
      <c r="A31" s="5" t="s">
        <v>41</v>
      </c>
      <c r="B31" s="6">
        <v>0</v>
      </c>
    </row>
    <row r="32" spans="1:2" x14ac:dyDescent="0.2">
      <c r="A32" s="5" t="s">
        <v>44</v>
      </c>
      <c r="B32" s="6">
        <v>0</v>
      </c>
    </row>
    <row r="33" spans="1:2" x14ac:dyDescent="0.2">
      <c r="A33" s="5" t="s">
        <v>46</v>
      </c>
      <c r="B33" s="6">
        <v>0</v>
      </c>
    </row>
    <row r="34" spans="1:2" x14ac:dyDescent="0.2">
      <c r="A34" s="5" t="s">
        <v>49</v>
      </c>
      <c r="B34" s="6">
        <v>0</v>
      </c>
    </row>
    <row r="35" spans="1:2" x14ac:dyDescent="0.2">
      <c r="A35" s="4" t="s">
        <v>205</v>
      </c>
      <c r="B35" s="6">
        <v>7399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6D56-9D4B-284C-8D8C-3307CD95BF04}">
  <dimension ref="A1:K50"/>
  <sheetViews>
    <sheetView workbookViewId="0">
      <selection activeCell="H9" sqref="H9"/>
    </sheetView>
  </sheetViews>
  <sheetFormatPr baseColWidth="10" defaultRowHeight="16" x14ac:dyDescent="0.2"/>
  <cols>
    <col min="1" max="1" width="20" bestFit="1" customWidth="1"/>
    <col min="2" max="2" width="28.6640625" bestFit="1" customWidth="1"/>
    <col min="4" max="4" width="11.5" bestFit="1" customWidth="1"/>
    <col min="8" max="8" width="13.1640625" bestFit="1" customWidth="1"/>
    <col min="9" max="9" width="13.33203125" customWidth="1"/>
    <col min="11" max="11" width="93.1640625" bestFit="1" customWidth="1"/>
  </cols>
  <sheetData>
    <row r="1" spans="1:11" s="2" customFormat="1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t="s">
        <v>127</v>
      </c>
      <c r="B2" t="s">
        <v>128</v>
      </c>
      <c r="C2" t="s">
        <v>129</v>
      </c>
      <c r="D2" t="s">
        <v>14</v>
      </c>
      <c r="E2" t="s">
        <v>15</v>
      </c>
      <c r="F2" t="s">
        <v>16</v>
      </c>
      <c r="G2" t="s">
        <v>17</v>
      </c>
      <c r="H2" s="1">
        <v>175</v>
      </c>
      <c r="I2" s="1">
        <v>175</v>
      </c>
      <c r="J2" t="s">
        <v>18</v>
      </c>
      <c r="K2" t="s">
        <v>130</v>
      </c>
    </row>
    <row r="3" spans="1:11" x14ac:dyDescent="0.2">
      <c r="A3" t="s">
        <v>127</v>
      </c>
      <c r="B3" t="s">
        <v>131</v>
      </c>
      <c r="C3" t="s">
        <v>132</v>
      </c>
      <c r="D3" t="s">
        <v>25</v>
      </c>
      <c r="E3" t="s">
        <v>15</v>
      </c>
      <c r="F3" t="s">
        <v>16</v>
      </c>
      <c r="G3" t="s">
        <v>17</v>
      </c>
      <c r="H3" t="s">
        <v>133</v>
      </c>
      <c r="I3" s="1">
        <v>1500</v>
      </c>
      <c r="J3" t="s">
        <v>18</v>
      </c>
      <c r="K3" t="s">
        <v>134</v>
      </c>
    </row>
    <row r="4" spans="1:11" x14ac:dyDescent="0.2">
      <c r="A4" t="s">
        <v>127</v>
      </c>
      <c r="B4" t="s">
        <v>135</v>
      </c>
      <c r="C4" t="s">
        <v>136</v>
      </c>
      <c r="D4" t="s">
        <v>25</v>
      </c>
      <c r="E4" t="s">
        <v>15</v>
      </c>
      <c r="F4" t="s">
        <v>16</v>
      </c>
      <c r="G4" t="s">
        <v>137</v>
      </c>
      <c r="H4" t="s">
        <v>136</v>
      </c>
      <c r="I4" t="s">
        <v>138</v>
      </c>
      <c r="J4" t="s">
        <v>15</v>
      </c>
      <c r="K4" t="s">
        <v>139</v>
      </c>
    </row>
    <row r="5" spans="1:11" x14ac:dyDescent="0.2">
      <c r="A5" t="s">
        <v>127</v>
      </c>
      <c r="B5" t="s">
        <v>140</v>
      </c>
      <c r="C5" t="s">
        <v>141</v>
      </c>
      <c r="D5" t="s">
        <v>25</v>
      </c>
      <c r="E5" t="s">
        <v>15</v>
      </c>
      <c r="F5" t="s">
        <v>16</v>
      </c>
      <c r="G5" t="s">
        <v>142</v>
      </c>
      <c r="H5" t="s">
        <v>17</v>
      </c>
      <c r="I5" s="1">
        <v>1800</v>
      </c>
      <c r="J5" t="s">
        <v>15</v>
      </c>
      <c r="K5" t="s">
        <v>143</v>
      </c>
    </row>
    <row r="6" spans="1:11" x14ac:dyDescent="0.2">
      <c r="A6" t="s">
        <v>171</v>
      </c>
      <c r="B6" t="s">
        <v>172</v>
      </c>
      <c r="C6" t="s">
        <v>173</v>
      </c>
      <c r="D6" t="s">
        <v>14</v>
      </c>
      <c r="E6" t="s">
        <v>22</v>
      </c>
      <c r="F6" t="s">
        <v>16</v>
      </c>
      <c r="G6" t="s">
        <v>17</v>
      </c>
      <c r="H6" s="1">
        <v>400</v>
      </c>
      <c r="I6" s="1">
        <v>400</v>
      </c>
      <c r="J6" t="s">
        <v>174</v>
      </c>
      <c r="K6" t="s">
        <v>175</v>
      </c>
    </row>
    <row r="7" spans="1:11" x14ac:dyDescent="0.2">
      <c r="A7" t="s">
        <v>171</v>
      </c>
      <c r="B7" t="s">
        <v>176</v>
      </c>
      <c r="C7" t="s">
        <v>177</v>
      </c>
      <c r="D7" t="s">
        <v>14</v>
      </c>
      <c r="E7" t="s">
        <v>15</v>
      </c>
      <c r="F7" t="s">
        <v>16</v>
      </c>
      <c r="G7" t="s">
        <v>17</v>
      </c>
      <c r="H7" s="1">
        <v>500</v>
      </c>
      <c r="I7" s="1">
        <v>500</v>
      </c>
      <c r="J7" t="s">
        <v>158</v>
      </c>
      <c r="K7" t="s">
        <v>178</v>
      </c>
    </row>
    <row r="8" spans="1:11" x14ac:dyDescent="0.2">
      <c r="A8" t="s">
        <v>179</v>
      </c>
      <c r="B8" t="s">
        <v>180</v>
      </c>
      <c r="C8" t="s">
        <v>181</v>
      </c>
      <c r="D8" t="s">
        <v>14</v>
      </c>
      <c r="E8" t="s">
        <v>15</v>
      </c>
      <c r="F8" t="s">
        <v>182</v>
      </c>
      <c r="G8" t="s">
        <v>183</v>
      </c>
      <c r="H8" t="s">
        <v>17</v>
      </c>
      <c r="I8" s="1">
        <v>0</v>
      </c>
      <c r="J8" t="s">
        <v>68</v>
      </c>
      <c r="K8" t="s">
        <v>184</v>
      </c>
    </row>
    <row r="9" spans="1:11" x14ac:dyDescent="0.2">
      <c r="A9" t="s">
        <v>179</v>
      </c>
      <c r="B9" t="s">
        <v>185</v>
      </c>
      <c r="C9" t="s">
        <v>186</v>
      </c>
      <c r="D9" t="s">
        <v>14</v>
      </c>
      <c r="E9" t="s">
        <v>15</v>
      </c>
      <c r="F9" t="s">
        <v>182</v>
      </c>
      <c r="G9" t="s">
        <v>187</v>
      </c>
      <c r="H9" t="s">
        <v>17</v>
      </c>
      <c r="I9" s="1">
        <v>0</v>
      </c>
      <c r="J9" t="s">
        <v>68</v>
      </c>
      <c r="K9" t="s">
        <v>188</v>
      </c>
    </row>
    <row r="10" spans="1:11" x14ac:dyDescent="0.2">
      <c r="A10" t="s">
        <v>144</v>
      </c>
      <c r="B10" t="s">
        <v>145</v>
      </c>
      <c r="C10" t="s">
        <v>146</v>
      </c>
      <c r="D10" t="s">
        <v>14</v>
      </c>
      <c r="E10" t="s">
        <v>22</v>
      </c>
      <c r="F10" t="s">
        <v>16</v>
      </c>
      <c r="G10" t="s">
        <v>17</v>
      </c>
      <c r="H10" t="s">
        <v>86</v>
      </c>
      <c r="I10" s="1">
        <v>0</v>
      </c>
      <c r="J10" t="s">
        <v>87</v>
      </c>
      <c r="K10" t="s">
        <v>147</v>
      </c>
    </row>
    <row r="11" spans="1:11" x14ac:dyDescent="0.2">
      <c r="A11" t="s">
        <v>144</v>
      </c>
      <c r="B11" t="s">
        <v>148</v>
      </c>
      <c r="C11" t="s">
        <v>146</v>
      </c>
      <c r="D11" t="s">
        <v>25</v>
      </c>
      <c r="E11" t="s">
        <v>15</v>
      </c>
      <c r="F11" t="s">
        <v>16</v>
      </c>
      <c r="G11" t="s">
        <v>17</v>
      </c>
      <c r="H11" t="s">
        <v>149</v>
      </c>
      <c r="I11" s="1">
        <v>300</v>
      </c>
      <c r="J11" t="s">
        <v>15</v>
      </c>
      <c r="K11" t="s">
        <v>150</v>
      </c>
    </row>
    <row r="12" spans="1:11" x14ac:dyDescent="0.2">
      <c r="A12" t="s">
        <v>144</v>
      </c>
      <c r="B12" t="s">
        <v>151</v>
      </c>
      <c r="C12" t="s">
        <v>146</v>
      </c>
      <c r="D12" t="s">
        <v>14</v>
      </c>
      <c r="E12" t="s">
        <v>22</v>
      </c>
      <c r="F12" t="s">
        <v>16</v>
      </c>
      <c r="G12" t="s">
        <v>17</v>
      </c>
      <c r="H12" t="s">
        <v>111</v>
      </c>
      <c r="I12" s="1">
        <v>300</v>
      </c>
      <c r="J12" t="s">
        <v>87</v>
      </c>
      <c r="K12" t="s">
        <v>152</v>
      </c>
    </row>
    <row r="13" spans="1:11" x14ac:dyDescent="0.2">
      <c r="A13" t="s">
        <v>144</v>
      </c>
      <c r="B13" t="s">
        <v>153</v>
      </c>
      <c r="C13" t="s">
        <v>146</v>
      </c>
      <c r="D13" t="s">
        <v>14</v>
      </c>
      <c r="E13" t="s">
        <v>22</v>
      </c>
      <c r="F13" t="s">
        <v>16</v>
      </c>
      <c r="G13" t="s">
        <v>17</v>
      </c>
      <c r="H13" t="s">
        <v>111</v>
      </c>
      <c r="I13" s="1">
        <v>200</v>
      </c>
      <c r="J13" t="s">
        <v>154</v>
      </c>
      <c r="K13" t="s">
        <v>155</v>
      </c>
    </row>
    <row r="14" spans="1:11" x14ac:dyDescent="0.2">
      <c r="A14" t="s">
        <v>144</v>
      </c>
      <c r="B14" t="s">
        <v>156</v>
      </c>
      <c r="C14" t="s">
        <v>157</v>
      </c>
      <c r="D14" t="s">
        <v>14</v>
      </c>
      <c r="E14" t="s">
        <v>15</v>
      </c>
      <c r="F14" t="s">
        <v>16</v>
      </c>
      <c r="G14" s="1">
        <v>10</v>
      </c>
      <c r="H14" t="s">
        <v>17</v>
      </c>
      <c r="I14" s="1">
        <v>120</v>
      </c>
      <c r="J14" t="s">
        <v>158</v>
      </c>
      <c r="K14" t="s">
        <v>159</v>
      </c>
    </row>
    <row r="15" spans="1:11" x14ac:dyDescent="0.2">
      <c r="A15" t="s">
        <v>160</v>
      </c>
      <c r="B15" t="s">
        <v>161</v>
      </c>
      <c r="C15" t="s">
        <v>141</v>
      </c>
      <c r="D15" t="s">
        <v>14</v>
      </c>
      <c r="E15" t="s">
        <v>15</v>
      </c>
      <c r="F15" t="s">
        <v>16</v>
      </c>
      <c r="G15" t="s">
        <v>162</v>
      </c>
      <c r="H15" t="s">
        <v>17</v>
      </c>
      <c r="I15" s="1">
        <v>0</v>
      </c>
      <c r="J15" t="s">
        <v>163</v>
      </c>
      <c r="K15" t="s">
        <v>164</v>
      </c>
    </row>
    <row r="16" spans="1:11" x14ac:dyDescent="0.2">
      <c r="A16" t="s">
        <v>160</v>
      </c>
      <c r="B16" t="s">
        <v>165</v>
      </c>
      <c r="C16" t="s">
        <v>141</v>
      </c>
      <c r="D16" t="s">
        <v>14</v>
      </c>
      <c r="E16" t="s">
        <v>15</v>
      </c>
      <c r="F16" t="s">
        <v>16</v>
      </c>
      <c r="G16" t="s">
        <v>17</v>
      </c>
      <c r="H16" s="1">
        <v>200</v>
      </c>
      <c r="I16" s="1">
        <v>200</v>
      </c>
      <c r="J16" t="s">
        <v>163</v>
      </c>
      <c r="K16" t="s">
        <v>166</v>
      </c>
    </row>
    <row r="17" spans="1:11" x14ac:dyDescent="0.2">
      <c r="A17" t="s">
        <v>160</v>
      </c>
      <c r="B17" t="s">
        <v>167</v>
      </c>
      <c r="C17" t="s">
        <v>141</v>
      </c>
      <c r="D17" t="s">
        <v>14</v>
      </c>
      <c r="E17" t="s">
        <v>15</v>
      </c>
      <c r="F17" t="s">
        <v>16</v>
      </c>
      <c r="G17" t="s">
        <v>17</v>
      </c>
      <c r="H17" s="1">
        <v>100</v>
      </c>
      <c r="I17" s="1">
        <v>100</v>
      </c>
      <c r="J17" t="s">
        <v>15</v>
      </c>
      <c r="K17" t="s">
        <v>168</v>
      </c>
    </row>
    <row r="18" spans="1:11" x14ac:dyDescent="0.2">
      <c r="A18" t="s">
        <v>160</v>
      </c>
      <c r="B18" t="s">
        <v>169</v>
      </c>
      <c r="C18" t="s">
        <v>141</v>
      </c>
      <c r="D18" t="s">
        <v>14</v>
      </c>
      <c r="E18" t="s">
        <v>15</v>
      </c>
      <c r="F18" t="s">
        <v>16</v>
      </c>
      <c r="G18" t="s">
        <v>17</v>
      </c>
      <c r="H18" s="1">
        <v>2000</v>
      </c>
      <c r="I18" s="1">
        <v>2000</v>
      </c>
      <c r="J18" t="s">
        <v>158</v>
      </c>
      <c r="K18" t="s">
        <v>170</v>
      </c>
    </row>
    <row r="19" spans="1:11" x14ac:dyDescent="0.2">
      <c r="A19" t="s">
        <v>56</v>
      </c>
      <c r="B19" t="s">
        <v>57</v>
      </c>
      <c r="C19" t="s">
        <v>58</v>
      </c>
      <c r="D19" t="s">
        <v>14</v>
      </c>
      <c r="E19" t="s">
        <v>15</v>
      </c>
      <c r="F19" t="s">
        <v>16</v>
      </c>
      <c r="G19" s="1">
        <v>99</v>
      </c>
      <c r="H19" t="s">
        <v>17</v>
      </c>
      <c r="I19" s="1">
        <v>1188</v>
      </c>
      <c r="J19" t="s">
        <v>18</v>
      </c>
      <c r="K19" t="s">
        <v>59</v>
      </c>
    </row>
    <row r="20" spans="1:11" x14ac:dyDescent="0.2">
      <c r="A20" t="s">
        <v>56</v>
      </c>
      <c r="B20" t="s">
        <v>60</v>
      </c>
      <c r="C20" t="s">
        <v>61</v>
      </c>
      <c r="D20" t="s">
        <v>14</v>
      </c>
      <c r="E20" t="s">
        <v>15</v>
      </c>
      <c r="F20" t="s">
        <v>16</v>
      </c>
      <c r="G20" t="s">
        <v>62</v>
      </c>
      <c r="H20" t="s">
        <v>17</v>
      </c>
      <c r="I20" s="1">
        <v>0</v>
      </c>
      <c r="J20" t="s">
        <v>63</v>
      </c>
      <c r="K20" t="s">
        <v>64</v>
      </c>
    </row>
    <row r="21" spans="1:11" x14ac:dyDescent="0.2">
      <c r="A21" t="s">
        <v>56</v>
      </c>
      <c r="B21" t="s">
        <v>65</v>
      </c>
      <c r="C21" t="s">
        <v>66</v>
      </c>
      <c r="D21" t="s">
        <v>14</v>
      </c>
      <c r="E21" t="s">
        <v>15</v>
      </c>
      <c r="F21" t="s">
        <v>16</v>
      </c>
      <c r="G21" t="s">
        <v>67</v>
      </c>
      <c r="H21" t="s">
        <v>17</v>
      </c>
      <c r="I21" s="1">
        <v>0</v>
      </c>
      <c r="J21" t="s">
        <v>68</v>
      </c>
      <c r="K21" t="s">
        <v>69</v>
      </c>
    </row>
    <row r="22" spans="1:11" x14ac:dyDescent="0.2">
      <c r="A22" t="s">
        <v>56</v>
      </c>
      <c r="B22" t="s">
        <v>70</v>
      </c>
      <c r="C22" t="s">
        <v>71</v>
      </c>
      <c r="D22" t="s">
        <v>14</v>
      </c>
      <c r="E22" t="s">
        <v>15</v>
      </c>
      <c r="F22" t="s">
        <v>16</v>
      </c>
      <c r="G22" t="s">
        <v>72</v>
      </c>
      <c r="H22" t="s">
        <v>17</v>
      </c>
      <c r="I22" s="1">
        <v>0</v>
      </c>
      <c r="J22" t="s">
        <v>73</v>
      </c>
      <c r="K22" t="s">
        <v>74</v>
      </c>
    </row>
    <row r="23" spans="1:11" x14ac:dyDescent="0.2">
      <c r="A23" t="s">
        <v>56</v>
      </c>
      <c r="B23" t="s">
        <v>75</v>
      </c>
      <c r="C23" t="s">
        <v>76</v>
      </c>
      <c r="D23" t="s">
        <v>14</v>
      </c>
      <c r="E23" t="s">
        <v>15</v>
      </c>
      <c r="F23" t="s">
        <v>16</v>
      </c>
      <c r="G23" t="s">
        <v>17</v>
      </c>
      <c r="H23" t="s">
        <v>77</v>
      </c>
      <c r="I23" s="1">
        <v>12</v>
      </c>
      <c r="J23" t="s">
        <v>18</v>
      </c>
      <c r="K23" t="s">
        <v>78</v>
      </c>
    </row>
    <row r="24" spans="1:11" x14ac:dyDescent="0.2">
      <c r="A24" t="s">
        <v>56</v>
      </c>
      <c r="B24" t="s">
        <v>79</v>
      </c>
      <c r="C24" t="s">
        <v>80</v>
      </c>
      <c r="D24" t="s">
        <v>14</v>
      </c>
      <c r="E24" t="s">
        <v>15</v>
      </c>
      <c r="F24" t="s">
        <v>16</v>
      </c>
      <c r="G24" t="s">
        <v>81</v>
      </c>
      <c r="H24" t="s">
        <v>17</v>
      </c>
      <c r="I24" s="1">
        <v>0</v>
      </c>
      <c r="J24" t="s">
        <v>73</v>
      </c>
      <c r="K24" t="s">
        <v>82</v>
      </c>
    </row>
    <row r="25" spans="1:11" x14ac:dyDescent="0.2">
      <c r="A25" t="s">
        <v>118</v>
      </c>
      <c r="B25" t="s">
        <v>119</v>
      </c>
      <c r="C25" t="s">
        <v>120</v>
      </c>
      <c r="D25" t="s">
        <v>14</v>
      </c>
      <c r="E25" t="s">
        <v>15</v>
      </c>
      <c r="F25" t="s">
        <v>16</v>
      </c>
      <c r="G25" t="s">
        <v>17</v>
      </c>
      <c r="H25" t="s">
        <v>121</v>
      </c>
      <c r="I25" s="1">
        <v>3750</v>
      </c>
      <c r="J25" t="s">
        <v>122</v>
      </c>
      <c r="K25" t="s">
        <v>123</v>
      </c>
    </row>
    <row r="26" spans="1:11" x14ac:dyDescent="0.2">
      <c r="A26" t="s">
        <v>118</v>
      </c>
      <c r="B26" t="s">
        <v>124</v>
      </c>
      <c r="C26" t="s">
        <v>120</v>
      </c>
      <c r="D26" t="s">
        <v>14</v>
      </c>
      <c r="E26" t="s">
        <v>15</v>
      </c>
      <c r="F26" t="s">
        <v>16</v>
      </c>
      <c r="G26" t="s">
        <v>17</v>
      </c>
      <c r="H26" s="1">
        <v>500</v>
      </c>
      <c r="I26" s="1">
        <v>500</v>
      </c>
      <c r="J26" t="s">
        <v>125</v>
      </c>
      <c r="K26" t="s">
        <v>126</v>
      </c>
    </row>
    <row r="27" spans="1:11" x14ac:dyDescent="0.2">
      <c r="A27" t="s">
        <v>83</v>
      </c>
      <c r="B27" t="s">
        <v>84</v>
      </c>
      <c r="C27" t="s">
        <v>85</v>
      </c>
      <c r="D27" t="s">
        <v>14</v>
      </c>
      <c r="E27" t="s">
        <v>22</v>
      </c>
      <c r="F27" t="s">
        <v>16</v>
      </c>
      <c r="G27" t="s">
        <v>17</v>
      </c>
      <c r="H27" t="s">
        <v>86</v>
      </c>
      <c r="I27" s="1">
        <v>300</v>
      </c>
      <c r="J27" t="s">
        <v>87</v>
      </c>
      <c r="K27" t="s">
        <v>88</v>
      </c>
    </row>
    <row r="28" spans="1:11" x14ac:dyDescent="0.2">
      <c r="A28" t="s">
        <v>83</v>
      </c>
      <c r="B28" t="s">
        <v>89</v>
      </c>
      <c r="C28" t="s">
        <v>90</v>
      </c>
      <c r="D28" t="s">
        <v>14</v>
      </c>
      <c r="E28" t="s">
        <v>22</v>
      </c>
      <c r="F28" t="s">
        <v>16</v>
      </c>
      <c r="G28" t="s">
        <v>17</v>
      </c>
      <c r="H28" t="s">
        <v>86</v>
      </c>
      <c r="I28" s="1">
        <v>0</v>
      </c>
      <c r="J28" t="s">
        <v>87</v>
      </c>
      <c r="K28" t="s">
        <v>91</v>
      </c>
    </row>
    <row r="29" spans="1:11" x14ac:dyDescent="0.2">
      <c r="A29" t="s">
        <v>83</v>
      </c>
      <c r="B29" t="s">
        <v>92</v>
      </c>
      <c r="C29" t="s">
        <v>93</v>
      </c>
      <c r="D29" t="s">
        <v>25</v>
      </c>
      <c r="E29" t="s">
        <v>15</v>
      </c>
      <c r="F29" t="s">
        <v>16</v>
      </c>
      <c r="G29" t="s">
        <v>17</v>
      </c>
      <c r="H29" t="s">
        <v>94</v>
      </c>
      <c r="I29" s="1">
        <v>2500</v>
      </c>
      <c r="J29" t="s">
        <v>95</v>
      </c>
      <c r="K29" t="s">
        <v>96</v>
      </c>
    </row>
    <row r="30" spans="1:11" x14ac:dyDescent="0.2">
      <c r="A30" t="s">
        <v>83</v>
      </c>
      <c r="B30" t="s">
        <v>97</v>
      </c>
      <c r="C30" t="s">
        <v>85</v>
      </c>
      <c r="D30" t="s">
        <v>25</v>
      </c>
      <c r="E30" t="s">
        <v>15</v>
      </c>
      <c r="F30" t="s">
        <v>16</v>
      </c>
      <c r="G30" t="s">
        <v>17</v>
      </c>
      <c r="H30" t="s">
        <v>98</v>
      </c>
      <c r="I30" s="1">
        <v>2250</v>
      </c>
      <c r="J30" t="s">
        <v>95</v>
      </c>
      <c r="K30" t="s">
        <v>99</v>
      </c>
    </row>
    <row r="31" spans="1:11" x14ac:dyDescent="0.2">
      <c r="A31" t="s">
        <v>83</v>
      </c>
      <c r="B31" t="s">
        <v>100</v>
      </c>
      <c r="C31" t="s">
        <v>101</v>
      </c>
      <c r="D31" t="s">
        <v>14</v>
      </c>
      <c r="E31" t="s">
        <v>22</v>
      </c>
      <c r="F31" t="s">
        <v>16</v>
      </c>
      <c r="G31" t="s">
        <v>17</v>
      </c>
      <c r="H31" t="s">
        <v>102</v>
      </c>
      <c r="I31" s="1">
        <v>500</v>
      </c>
      <c r="J31" t="s">
        <v>103</v>
      </c>
      <c r="K31" t="s">
        <v>104</v>
      </c>
    </row>
    <row r="32" spans="1:11" x14ac:dyDescent="0.2">
      <c r="A32" t="s">
        <v>83</v>
      </c>
      <c r="B32" t="s">
        <v>105</v>
      </c>
      <c r="C32" t="s">
        <v>101</v>
      </c>
      <c r="D32" t="s">
        <v>25</v>
      </c>
      <c r="E32" t="s">
        <v>15</v>
      </c>
      <c r="F32" t="s">
        <v>16</v>
      </c>
      <c r="G32" t="s">
        <v>17</v>
      </c>
      <c r="H32" t="s">
        <v>106</v>
      </c>
      <c r="I32" s="1">
        <v>350</v>
      </c>
      <c r="J32" t="s">
        <v>107</v>
      </c>
      <c r="K32" t="s">
        <v>108</v>
      </c>
    </row>
    <row r="33" spans="1:11" x14ac:dyDescent="0.2">
      <c r="A33" t="s">
        <v>83</v>
      </c>
      <c r="B33" t="s">
        <v>109</v>
      </c>
      <c r="C33" t="s">
        <v>110</v>
      </c>
      <c r="D33" t="s">
        <v>14</v>
      </c>
      <c r="E33" t="s">
        <v>22</v>
      </c>
      <c r="F33" t="s">
        <v>16</v>
      </c>
      <c r="G33" t="s">
        <v>17</v>
      </c>
      <c r="H33" t="s">
        <v>111</v>
      </c>
      <c r="I33" s="1">
        <v>500</v>
      </c>
      <c r="J33" t="s">
        <v>103</v>
      </c>
      <c r="K33" t="s">
        <v>112</v>
      </c>
    </row>
    <row r="34" spans="1:11" x14ac:dyDescent="0.2">
      <c r="A34" t="s">
        <v>83</v>
      </c>
      <c r="B34" t="s">
        <v>113</v>
      </c>
      <c r="C34" t="s">
        <v>114</v>
      </c>
      <c r="D34" t="s">
        <v>14</v>
      </c>
      <c r="E34" t="s">
        <v>15</v>
      </c>
      <c r="F34" t="s">
        <v>16</v>
      </c>
      <c r="G34" t="s">
        <v>17</v>
      </c>
      <c r="H34" t="s">
        <v>115</v>
      </c>
      <c r="I34" s="1">
        <v>32500</v>
      </c>
      <c r="J34" t="s">
        <v>116</v>
      </c>
      <c r="K34" t="s">
        <v>117</v>
      </c>
    </row>
    <row r="35" spans="1:11" x14ac:dyDescent="0.2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s="1">
        <v>99</v>
      </c>
      <c r="I35" s="1">
        <v>99</v>
      </c>
      <c r="J35" t="s">
        <v>18</v>
      </c>
      <c r="K35" t="s">
        <v>19</v>
      </c>
    </row>
    <row r="36" spans="1:11" x14ac:dyDescent="0.2">
      <c r="A36" t="s">
        <v>11</v>
      </c>
      <c r="B36" t="s">
        <v>20</v>
      </c>
      <c r="C36" t="s">
        <v>21</v>
      </c>
      <c r="D36" t="s">
        <v>14</v>
      </c>
      <c r="E36" t="s">
        <v>22</v>
      </c>
      <c r="F36" t="s">
        <v>16</v>
      </c>
      <c r="G36" t="s">
        <v>17</v>
      </c>
      <c r="H36" s="1">
        <v>25</v>
      </c>
      <c r="I36" s="1">
        <v>25</v>
      </c>
      <c r="J36" t="s">
        <v>18</v>
      </c>
      <c r="K36" t="s">
        <v>23</v>
      </c>
    </row>
    <row r="37" spans="1:11" x14ac:dyDescent="0.2">
      <c r="A37" t="s">
        <v>11</v>
      </c>
      <c r="B37" t="s">
        <v>24</v>
      </c>
      <c r="C37" t="s">
        <v>13</v>
      </c>
      <c r="D37" t="s">
        <v>25</v>
      </c>
      <c r="E37" t="s">
        <v>15</v>
      </c>
      <c r="F37" t="s">
        <v>16</v>
      </c>
      <c r="G37" t="s">
        <v>26</v>
      </c>
      <c r="H37" t="s">
        <v>17</v>
      </c>
      <c r="I37" t="s">
        <v>27</v>
      </c>
      <c r="J37" t="s">
        <v>28</v>
      </c>
      <c r="K37" t="s">
        <v>29</v>
      </c>
    </row>
    <row r="38" spans="1:11" x14ac:dyDescent="0.2">
      <c r="A38" t="s">
        <v>11</v>
      </c>
      <c r="B38" t="s">
        <v>30</v>
      </c>
      <c r="C38" t="s">
        <v>21</v>
      </c>
      <c r="D38" t="s">
        <v>25</v>
      </c>
      <c r="E38" t="s">
        <v>15</v>
      </c>
      <c r="F38" t="s">
        <v>16</v>
      </c>
      <c r="G38" t="s">
        <v>26</v>
      </c>
      <c r="H38" t="s">
        <v>17</v>
      </c>
      <c r="I38" t="s">
        <v>27</v>
      </c>
      <c r="J38" t="s">
        <v>28</v>
      </c>
      <c r="K38" t="s">
        <v>31</v>
      </c>
    </row>
    <row r="39" spans="1:11" x14ac:dyDescent="0.2">
      <c r="A39" t="s">
        <v>11</v>
      </c>
      <c r="B39" t="s">
        <v>32</v>
      </c>
      <c r="C39" t="s">
        <v>33</v>
      </c>
      <c r="D39" t="s">
        <v>25</v>
      </c>
      <c r="E39" t="s">
        <v>15</v>
      </c>
      <c r="F39" t="s">
        <v>16</v>
      </c>
      <c r="G39" t="s">
        <v>34</v>
      </c>
      <c r="H39" t="s">
        <v>17</v>
      </c>
      <c r="I39" t="s">
        <v>27</v>
      </c>
      <c r="J39" t="s">
        <v>35</v>
      </c>
      <c r="K39" t="s">
        <v>36</v>
      </c>
    </row>
    <row r="40" spans="1:11" x14ac:dyDescent="0.2">
      <c r="A40" t="s">
        <v>37</v>
      </c>
      <c r="B40" t="s">
        <v>38</v>
      </c>
      <c r="C40" t="s">
        <v>39</v>
      </c>
      <c r="D40" t="s">
        <v>14</v>
      </c>
      <c r="E40" t="s">
        <v>15</v>
      </c>
      <c r="F40" t="s">
        <v>16</v>
      </c>
      <c r="G40" s="1">
        <v>100</v>
      </c>
      <c r="H40" t="s">
        <v>17</v>
      </c>
      <c r="I40" s="1">
        <v>1200</v>
      </c>
      <c r="J40" t="s">
        <v>18</v>
      </c>
      <c r="K40" t="s">
        <v>40</v>
      </c>
    </row>
    <row r="41" spans="1:11" x14ac:dyDescent="0.2">
      <c r="A41" t="s">
        <v>37</v>
      </c>
      <c r="B41" t="s">
        <v>41</v>
      </c>
      <c r="C41" t="s">
        <v>42</v>
      </c>
      <c r="D41" t="s">
        <v>14</v>
      </c>
      <c r="E41" t="s">
        <v>15</v>
      </c>
      <c r="F41" t="s">
        <v>16</v>
      </c>
      <c r="G41" t="s">
        <v>17</v>
      </c>
      <c r="H41" t="s">
        <v>17</v>
      </c>
      <c r="I41" t="s">
        <v>17</v>
      </c>
      <c r="J41" t="s">
        <v>18</v>
      </c>
      <c r="K41" t="s">
        <v>43</v>
      </c>
    </row>
    <row r="42" spans="1:11" x14ac:dyDescent="0.2">
      <c r="A42" t="s">
        <v>37</v>
      </c>
      <c r="B42" t="s">
        <v>44</v>
      </c>
      <c r="C42" t="s">
        <v>44</v>
      </c>
      <c r="D42" t="s">
        <v>14</v>
      </c>
      <c r="E42" t="s">
        <v>15</v>
      </c>
      <c r="F42" t="s">
        <v>16</v>
      </c>
      <c r="G42" t="s">
        <v>17</v>
      </c>
      <c r="H42" t="s">
        <v>17</v>
      </c>
      <c r="I42" t="s">
        <v>17</v>
      </c>
      <c r="J42" t="s">
        <v>18</v>
      </c>
      <c r="K42" t="s">
        <v>45</v>
      </c>
    </row>
    <row r="43" spans="1:11" x14ac:dyDescent="0.2">
      <c r="A43" t="s">
        <v>37</v>
      </c>
      <c r="B43" t="s">
        <v>46</v>
      </c>
      <c r="C43" t="s">
        <v>47</v>
      </c>
      <c r="D43" t="s">
        <v>14</v>
      </c>
      <c r="E43" t="s">
        <v>15</v>
      </c>
      <c r="F43" t="s">
        <v>16</v>
      </c>
      <c r="G43" t="s">
        <v>17</v>
      </c>
      <c r="H43" t="s">
        <v>17</v>
      </c>
      <c r="I43" t="s">
        <v>17</v>
      </c>
      <c r="J43" t="s">
        <v>18</v>
      </c>
      <c r="K43" t="s">
        <v>48</v>
      </c>
    </row>
    <row r="44" spans="1:11" x14ac:dyDescent="0.2">
      <c r="A44" t="s">
        <v>37</v>
      </c>
      <c r="B44" t="s">
        <v>49</v>
      </c>
      <c r="C44" t="s">
        <v>47</v>
      </c>
      <c r="D44" t="s">
        <v>14</v>
      </c>
      <c r="E44" t="s">
        <v>15</v>
      </c>
      <c r="F44" t="s">
        <v>16</v>
      </c>
      <c r="G44" t="s">
        <v>17</v>
      </c>
      <c r="H44" t="s">
        <v>17</v>
      </c>
      <c r="I44" t="s">
        <v>17</v>
      </c>
      <c r="J44" t="s">
        <v>18</v>
      </c>
      <c r="K44" t="s">
        <v>50</v>
      </c>
    </row>
    <row r="45" spans="1:11" x14ac:dyDescent="0.2">
      <c r="A45" t="s">
        <v>37</v>
      </c>
      <c r="B45" t="s">
        <v>51</v>
      </c>
      <c r="C45" t="s">
        <v>51</v>
      </c>
      <c r="D45" t="s">
        <v>14</v>
      </c>
      <c r="E45" t="s">
        <v>15</v>
      </c>
      <c r="F45" t="s">
        <v>16</v>
      </c>
      <c r="G45" t="s">
        <v>17</v>
      </c>
      <c r="H45" t="s">
        <v>17</v>
      </c>
      <c r="I45" t="s">
        <v>17</v>
      </c>
      <c r="J45" t="s">
        <v>18</v>
      </c>
      <c r="K45" t="s">
        <v>52</v>
      </c>
    </row>
    <row r="46" spans="1:11" x14ac:dyDescent="0.2">
      <c r="A46" t="s">
        <v>37</v>
      </c>
      <c r="B46" t="s">
        <v>53</v>
      </c>
      <c r="C46" t="s">
        <v>54</v>
      </c>
      <c r="D46" t="s">
        <v>14</v>
      </c>
      <c r="E46" t="s">
        <v>15</v>
      </c>
      <c r="F46" t="s">
        <v>16</v>
      </c>
      <c r="G46" t="s">
        <v>17</v>
      </c>
      <c r="H46" t="s">
        <v>17</v>
      </c>
      <c r="I46" t="s">
        <v>17</v>
      </c>
      <c r="J46" t="s">
        <v>18</v>
      </c>
      <c r="K46" t="s">
        <v>55</v>
      </c>
    </row>
    <row r="47" spans="1:11" x14ac:dyDescent="0.2">
      <c r="A47" t="s">
        <v>189</v>
      </c>
      <c r="B47" t="s">
        <v>190</v>
      </c>
      <c r="C47" t="s">
        <v>54</v>
      </c>
      <c r="D47" t="s">
        <v>25</v>
      </c>
      <c r="E47" t="s">
        <v>15</v>
      </c>
      <c r="F47" t="s">
        <v>191</v>
      </c>
      <c r="G47" t="s">
        <v>17</v>
      </c>
      <c r="H47" t="s">
        <v>17</v>
      </c>
      <c r="I47" s="1">
        <v>0</v>
      </c>
      <c r="J47" t="s">
        <v>63</v>
      </c>
      <c r="K47" t="s">
        <v>192</v>
      </c>
    </row>
    <row r="48" spans="1:11" x14ac:dyDescent="0.2">
      <c r="A48" t="s">
        <v>189</v>
      </c>
      <c r="B48" t="s">
        <v>193</v>
      </c>
      <c r="C48" t="s">
        <v>54</v>
      </c>
      <c r="D48" t="s">
        <v>25</v>
      </c>
      <c r="E48" t="s">
        <v>15</v>
      </c>
      <c r="F48" t="s">
        <v>194</v>
      </c>
      <c r="G48" t="s">
        <v>17</v>
      </c>
      <c r="H48" t="s">
        <v>17</v>
      </c>
      <c r="I48" s="1">
        <v>0</v>
      </c>
      <c r="J48" t="s">
        <v>195</v>
      </c>
      <c r="K48" t="s">
        <v>196</v>
      </c>
    </row>
    <row r="49" spans="1:11" x14ac:dyDescent="0.2">
      <c r="A49" t="s">
        <v>189</v>
      </c>
      <c r="B49" t="s">
        <v>197</v>
      </c>
      <c r="C49" t="s">
        <v>54</v>
      </c>
      <c r="D49" t="s">
        <v>25</v>
      </c>
      <c r="E49" t="s">
        <v>15</v>
      </c>
      <c r="F49" t="s">
        <v>16</v>
      </c>
      <c r="G49" t="s">
        <v>17</v>
      </c>
      <c r="H49" t="s">
        <v>17</v>
      </c>
      <c r="I49" s="1">
        <v>0</v>
      </c>
      <c r="J49" t="s">
        <v>198</v>
      </c>
      <c r="K49" t="s">
        <v>199</v>
      </c>
    </row>
    <row r="50" spans="1:11" x14ac:dyDescent="0.2">
      <c r="A50" t="s">
        <v>189</v>
      </c>
      <c r="B50" t="s">
        <v>200</v>
      </c>
      <c r="C50" t="s">
        <v>54</v>
      </c>
      <c r="D50" t="s">
        <v>25</v>
      </c>
      <c r="E50" t="s">
        <v>15</v>
      </c>
      <c r="F50" t="s">
        <v>201</v>
      </c>
      <c r="G50" t="s">
        <v>17</v>
      </c>
      <c r="H50" t="s">
        <v>17</v>
      </c>
      <c r="I50" s="1">
        <v>0</v>
      </c>
      <c r="J50" t="s">
        <v>202</v>
      </c>
      <c r="K50" t="s">
        <v>203</v>
      </c>
    </row>
  </sheetData>
  <autoFilter ref="A1:K50" xr:uid="{351F6D56-9D4B-284C-8D8C-3307CD95BF04}">
    <sortState xmlns:xlrd2="http://schemas.microsoft.com/office/spreadsheetml/2017/richdata2" ref="A2:K50">
      <sortCondition ref="A1:A5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F428-93B3-F849-9E32-4D8A996AAB3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Budget_Cost_List_v4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2025-11-26T23:29:53Z</dcterms:created>
  <dcterms:modified xsi:type="dcterms:W3CDTF">2025-11-27T01:25:27Z</dcterms:modified>
</cp:coreProperties>
</file>